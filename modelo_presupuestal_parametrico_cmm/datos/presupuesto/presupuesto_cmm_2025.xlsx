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titulacion\Desarrollo proyecto Chanto\Documentacion final\Documentacion 11 sep\"/>
    </mc:Choice>
  </mc:AlternateContent>
  <xr:revisionPtr revIDLastSave="0" documentId="13_ncr:1_{2D3FD49F-F3B8-4C58-A7EB-B53DD0519D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OLIDADO" sheetId="1" r:id="rId1"/>
    <sheet name="MESES 2025" sheetId="2" r:id="rId2"/>
    <sheet name="DEMANDA BANXICO 2025" sheetId="3" r:id="rId3"/>
    <sheet name="METALES 2025 BUENO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/>
  <c r="B47" i="1"/>
  <c r="C25" i="2"/>
  <c r="C28" i="2"/>
  <c r="B28" i="2"/>
  <c r="G109" i="5"/>
  <c r="G129" i="5" s="1"/>
  <c r="F109" i="5"/>
  <c r="F125" i="5" s="1"/>
  <c r="E109" i="5"/>
  <c r="E124" i="5" s="1"/>
  <c r="D109" i="5"/>
  <c r="D124" i="5" s="1"/>
  <c r="C109" i="5"/>
  <c r="C127" i="5" s="1"/>
  <c r="B109" i="5"/>
  <c r="B127" i="5" s="1"/>
  <c r="M79" i="5"/>
  <c r="L79" i="5"/>
  <c r="K79" i="5"/>
  <c r="J79" i="5"/>
  <c r="I79" i="5"/>
  <c r="H79" i="5"/>
  <c r="G79" i="5"/>
  <c r="F79" i="5"/>
  <c r="E79" i="5"/>
  <c r="D79" i="5"/>
  <c r="C79" i="5"/>
  <c r="B79" i="5"/>
  <c r="M76" i="5"/>
  <c r="L76" i="5"/>
  <c r="K76" i="5"/>
  <c r="J76" i="5"/>
  <c r="I76" i="5"/>
  <c r="H76" i="5"/>
  <c r="G76" i="5"/>
  <c r="F76" i="5"/>
  <c r="E76" i="5"/>
  <c r="D76" i="5"/>
  <c r="C76" i="5"/>
  <c r="B76" i="5"/>
  <c r="M75" i="5"/>
  <c r="L75" i="5"/>
  <c r="K75" i="5"/>
  <c r="J75" i="5"/>
  <c r="I75" i="5"/>
  <c r="H75" i="5"/>
  <c r="G75" i="5"/>
  <c r="F75" i="5"/>
  <c r="E75" i="5"/>
  <c r="D75" i="5"/>
  <c r="C75" i="5"/>
  <c r="B75" i="5"/>
  <c r="M74" i="5"/>
  <c r="L74" i="5"/>
  <c r="K74" i="5"/>
  <c r="J74" i="5"/>
  <c r="I74" i="5"/>
  <c r="H74" i="5"/>
  <c r="G74" i="5"/>
  <c r="F74" i="5"/>
  <c r="F77" i="5" s="1"/>
  <c r="F78" i="5" s="1"/>
  <c r="E74" i="5"/>
  <c r="D74" i="5"/>
  <c r="C74" i="5"/>
  <c r="B74" i="5"/>
  <c r="M37" i="5"/>
  <c r="L37" i="5"/>
  <c r="K37" i="5"/>
  <c r="J37" i="5"/>
  <c r="I37" i="5"/>
  <c r="H37" i="5"/>
  <c r="G37" i="5"/>
  <c r="F37" i="5"/>
  <c r="E37" i="5"/>
  <c r="D37" i="5"/>
  <c r="C37" i="5"/>
  <c r="B37" i="5"/>
  <c r="M32" i="5"/>
  <c r="L32" i="5"/>
  <c r="K32" i="5"/>
  <c r="K33" i="5" s="1"/>
  <c r="K34" i="5" s="1"/>
  <c r="K35" i="5" s="1"/>
  <c r="K36" i="5" s="1"/>
  <c r="J32" i="5"/>
  <c r="I32" i="5"/>
  <c r="H32" i="5"/>
  <c r="G32" i="5"/>
  <c r="F32" i="5"/>
  <c r="E32" i="5"/>
  <c r="D32" i="5"/>
  <c r="C32" i="5"/>
  <c r="B32" i="5"/>
  <c r="M31" i="5"/>
  <c r="L31" i="5"/>
  <c r="K31" i="5"/>
  <c r="J31" i="5"/>
  <c r="I31" i="5"/>
  <c r="I33" i="5" s="1"/>
  <c r="I34" i="5" s="1"/>
  <c r="I35" i="5" s="1"/>
  <c r="I36" i="5" s="1"/>
  <c r="H31" i="5"/>
  <c r="G31" i="5"/>
  <c r="F31" i="5"/>
  <c r="E31" i="5"/>
  <c r="D31" i="5"/>
  <c r="C31" i="5"/>
  <c r="B31" i="5"/>
  <c r="M30" i="5"/>
  <c r="L30" i="5"/>
  <c r="K30" i="5"/>
  <c r="J30" i="5"/>
  <c r="I30" i="5"/>
  <c r="H30" i="5"/>
  <c r="G30" i="5"/>
  <c r="F30" i="5"/>
  <c r="F33" i="5" s="1"/>
  <c r="F34" i="5" s="1"/>
  <c r="F35" i="5" s="1"/>
  <c r="F36" i="5" s="1"/>
  <c r="E30" i="5"/>
  <c r="D30" i="5"/>
  <c r="C30" i="5"/>
  <c r="C33" i="5" s="1"/>
  <c r="C34" i="5" s="1"/>
  <c r="C35" i="5" s="1"/>
  <c r="C36" i="5" s="1"/>
  <c r="B30" i="5"/>
  <c r="B33" i="5" s="1"/>
  <c r="B34" i="5" s="1"/>
  <c r="B35" i="5" s="1"/>
  <c r="B36" i="5" s="1"/>
  <c r="H17" i="3"/>
  <c r="G17" i="3"/>
  <c r="F17" i="3"/>
  <c r="E17" i="3"/>
  <c r="D17" i="3"/>
  <c r="C17" i="3"/>
  <c r="B17" i="3"/>
  <c r="F28" i="2"/>
  <c r="D28" i="2"/>
  <c r="J16" i="2" s="1"/>
  <c r="G27" i="2"/>
  <c r="G28" i="2" s="1"/>
  <c r="F27" i="2"/>
  <c r="E27" i="2"/>
  <c r="E28" i="2" s="1"/>
  <c r="D27" i="2"/>
  <c r="C27" i="2"/>
  <c r="B27" i="2"/>
  <c r="B25" i="2"/>
  <c r="I15" i="2" s="1"/>
  <c r="G24" i="2"/>
  <c r="G25" i="2" s="1"/>
  <c r="F24" i="2"/>
  <c r="F25" i="2" s="1"/>
  <c r="E24" i="2"/>
  <c r="E25" i="2" s="1"/>
  <c r="D24" i="2"/>
  <c r="D25" i="2" s="1"/>
  <c r="C24" i="2"/>
  <c r="B24" i="2"/>
  <c r="D17" i="2"/>
  <c r="S16" i="2"/>
  <c r="R16" i="2"/>
  <c r="P16" i="2"/>
  <c r="O16" i="2"/>
  <c r="G16" i="2"/>
  <c r="F16" i="2"/>
  <c r="E16" i="2"/>
  <c r="D16" i="2"/>
  <c r="C16" i="2"/>
  <c r="B16" i="2"/>
  <c r="S15" i="2"/>
  <c r="R15" i="2"/>
  <c r="P15" i="2"/>
  <c r="O15" i="2"/>
  <c r="G15" i="2"/>
  <c r="F15" i="2"/>
  <c r="E15" i="2"/>
  <c r="D15" i="2"/>
  <c r="C15" i="2"/>
  <c r="H15" i="2" s="1"/>
  <c r="Q15" i="2" s="1"/>
  <c r="J49" i="1" s="1"/>
  <c r="B15" i="2"/>
  <c r="S14" i="2"/>
  <c r="R14" i="2"/>
  <c r="I48" i="1" s="1"/>
  <c r="P14" i="2"/>
  <c r="O14" i="2"/>
  <c r="G14" i="2"/>
  <c r="F14" i="2"/>
  <c r="E14" i="2"/>
  <c r="D14" i="2"/>
  <c r="C14" i="2"/>
  <c r="B14" i="2"/>
  <c r="J14" i="2" s="1"/>
  <c r="S13" i="2"/>
  <c r="R13" i="2"/>
  <c r="P13" i="2"/>
  <c r="O13" i="2"/>
  <c r="G13" i="2"/>
  <c r="F13" i="2"/>
  <c r="E13" i="2"/>
  <c r="D13" i="2"/>
  <c r="C13" i="2"/>
  <c r="B13" i="2"/>
  <c r="S12" i="2"/>
  <c r="I46" i="1" s="1"/>
  <c r="R12" i="2"/>
  <c r="P12" i="2"/>
  <c r="O12" i="2"/>
  <c r="G12" i="2"/>
  <c r="F12" i="2"/>
  <c r="E12" i="2"/>
  <c r="D12" i="2"/>
  <c r="C12" i="2"/>
  <c r="B12" i="2"/>
  <c r="S11" i="2"/>
  <c r="R11" i="2"/>
  <c r="I45" i="1" s="1"/>
  <c r="P11" i="2"/>
  <c r="O11" i="2"/>
  <c r="G11" i="2"/>
  <c r="F11" i="2"/>
  <c r="H11" i="2" s="1"/>
  <c r="Q11" i="2" s="1"/>
  <c r="J45" i="1" s="1"/>
  <c r="E11" i="2"/>
  <c r="D11" i="2"/>
  <c r="C11" i="2"/>
  <c r="B11" i="2"/>
  <c r="S10" i="2"/>
  <c r="R10" i="2"/>
  <c r="I44" i="1" s="1"/>
  <c r="P10" i="2"/>
  <c r="O10" i="2"/>
  <c r="G10" i="2"/>
  <c r="F10" i="2"/>
  <c r="E10" i="2"/>
  <c r="D10" i="2"/>
  <c r="C10" i="2"/>
  <c r="B10" i="2"/>
  <c r="H10" i="2" s="1"/>
  <c r="Q10" i="2" s="1"/>
  <c r="J44" i="1" s="1"/>
  <c r="S9" i="2"/>
  <c r="R9" i="2"/>
  <c r="I43" i="1" s="1"/>
  <c r="P9" i="2"/>
  <c r="O9" i="2"/>
  <c r="G9" i="2"/>
  <c r="F9" i="2"/>
  <c r="E9" i="2"/>
  <c r="D9" i="2"/>
  <c r="C9" i="2"/>
  <c r="B9" i="2"/>
  <c r="S8" i="2"/>
  <c r="R8" i="2"/>
  <c r="I42" i="1" s="1"/>
  <c r="P8" i="2"/>
  <c r="O8" i="2"/>
  <c r="G8" i="2"/>
  <c r="F8" i="2"/>
  <c r="E8" i="2"/>
  <c r="D8" i="2"/>
  <c r="C8" i="2"/>
  <c r="B8" i="2"/>
  <c r="S7" i="2"/>
  <c r="R7" i="2"/>
  <c r="P7" i="2"/>
  <c r="O7" i="2"/>
  <c r="G7" i="2"/>
  <c r="F7" i="2"/>
  <c r="E7" i="2"/>
  <c r="D7" i="2"/>
  <c r="C7" i="2"/>
  <c r="B7" i="2"/>
  <c r="H7" i="2" s="1"/>
  <c r="Q7" i="2" s="1"/>
  <c r="J41" i="1" s="1"/>
  <c r="S6" i="2"/>
  <c r="R6" i="2"/>
  <c r="I40" i="1" s="1"/>
  <c r="P6" i="2"/>
  <c r="P17" i="2" s="1"/>
  <c r="B46" i="1" s="1"/>
  <c r="O6" i="2"/>
  <c r="G6" i="2"/>
  <c r="G17" i="2" s="1"/>
  <c r="F6" i="2"/>
  <c r="F17" i="2" s="1"/>
  <c r="E6" i="2"/>
  <c r="D6" i="2"/>
  <c r="C6" i="2"/>
  <c r="B6" i="2"/>
  <c r="S5" i="2"/>
  <c r="R5" i="2"/>
  <c r="R17" i="2" s="1"/>
  <c r="B48" i="1" s="1"/>
  <c r="P5" i="2"/>
  <c r="O5" i="2"/>
  <c r="O17" i="2" s="1"/>
  <c r="B45" i="1" s="1"/>
  <c r="H5" i="2"/>
  <c r="Q5" i="2" s="1"/>
  <c r="G5" i="2"/>
  <c r="F5" i="2"/>
  <c r="E5" i="2"/>
  <c r="D5" i="2"/>
  <c r="C5" i="2"/>
  <c r="C17" i="2" s="1"/>
  <c r="B5" i="2"/>
  <c r="B17" i="2" s="1"/>
  <c r="I49" i="1"/>
  <c r="B9" i="1"/>
  <c r="F8" i="1"/>
  <c r="I41" i="1" l="1"/>
  <c r="I39" i="1"/>
  <c r="I50" i="1"/>
  <c r="I47" i="1"/>
  <c r="S17" i="2"/>
  <c r="B49" i="1" s="1"/>
  <c r="M33" i="5"/>
  <c r="M34" i="5" s="1"/>
  <c r="M35" i="5" s="1"/>
  <c r="M36" i="5" s="1"/>
  <c r="L33" i="5"/>
  <c r="L34" i="5" s="1"/>
  <c r="L35" i="5" s="1"/>
  <c r="L36" i="5" s="1"/>
  <c r="D77" i="5"/>
  <c r="D78" i="5" s="1"/>
  <c r="G77" i="5"/>
  <c r="G78" i="5" s="1"/>
  <c r="H33" i="5"/>
  <c r="H34" i="5" s="1"/>
  <c r="H35" i="5" s="1"/>
  <c r="H36" i="5" s="1"/>
  <c r="J77" i="5"/>
  <c r="J78" i="5" s="1"/>
  <c r="B97" i="5" s="1"/>
  <c r="K77" i="5"/>
  <c r="K78" i="5" s="1"/>
  <c r="L77" i="5"/>
  <c r="L78" i="5" s="1"/>
  <c r="D120" i="5"/>
  <c r="C77" i="5"/>
  <c r="C78" i="5" s="1"/>
  <c r="G91" i="5" s="1" a="1"/>
  <c r="G91" i="5" s="1"/>
  <c r="M77" i="5"/>
  <c r="M78" i="5" s="1"/>
  <c r="D100" i="5" s="1"/>
  <c r="E120" i="5"/>
  <c r="D33" i="5"/>
  <c r="B122" i="5"/>
  <c r="C122" i="5"/>
  <c r="J33" i="5"/>
  <c r="D122" i="5"/>
  <c r="B123" i="5"/>
  <c r="C123" i="5"/>
  <c r="E33" i="5"/>
  <c r="G125" i="5"/>
  <c r="D127" i="5"/>
  <c r="G33" i="5"/>
  <c r="G34" i="5" s="1"/>
  <c r="G35" i="5" s="1"/>
  <c r="G36" i="5" s="1"/>
  <c r="E77" i="5"/>
  <c r="E78" i="5" s="1"/>
  <c r="E127" i="5"/>
  <c r="D128" i="5"/>
  <c r="E128" i="5"/>
  <c r="H77" i="5"/>
  <c r="H78" i="5" s="1"/>
  <c r="F96" i="5" s="1" a="1"/>
  <c r="F96" i="5" s="1"/>
  <c r="I77" i="5"/>
  <c r="I78" i="5" s="1"/>
  <c r="B77" i="5"/>
  <c r="B78" i="5" s="1"/>
  <c r="D119" i="5"/>
  <c r="E119" i="5"/>
  <c r="C95" i="5"/>
  <c r="B95" i="5"/>
  <c r="G96" i="5" a="1"/>
  <c r="G96" i="5" s="1"/>
  <c r="E95" i="5"/>
  <c r="D95" i="5"/>
  <c r="B96" i="5"/>
  <c r="E96" i="5"/>
  <c r="D96" i="5"/>
  <c r="C96" i="5"/>
  <c r="G97" i="5" a="1"/>
  <c r="G97" i="5" s="1"/>
  <c r="F97" i="5" a="1"/>
  <c r="F97" i="5" s="1"/>
  <c r="G59" i="5"/>
  <c r="F59" i="5"/>
  <c r="E59" i="5"/>
  <c r="D59" i="5"/>
  <c r="C59" i="5"/>
  <c r="B59" i="5"/>
  <c r="E98" i="5"/>
  <c r="D98" i="5"/>
  <c r="C98" i="5"/>
  <c r="B98" i="5"/>
  <c r="G99" i="5" a="1"/>
  <c r="G99" i="5" s="1"/>
  <c r="F99" i="5" a="1"/>
  <c r="F99" i="5" s="1"/>
  <c r="B90" i="5"/>
  <c r="E90" i="5"/>
  <c r="D90" i="5"/>
  <c r="C90" i="5"/>
  <c r="F91" i="5" a="1"/>
  <c r="F91" i="5" s="1"/>
  <c r="J15" i="2"/>
  <c r="J5" i="2"/>
  <c r="J10" i="2"/>
  <c r="C99" i="5"/>
  <c r="B99" i="5"/>
  <c r="G100" i="5" a="1"/>
  <c r="G100" i="5" s="1"/>
  <c r="F100" i="5" a="1"/>
  <c r="F100" i="5" s="1"/>
  <c r="E99" i="5"/>
  <c r="D99" i="5"/>
  <c r="G90" i="5" a="1"/>
  <c r="G90" i="5" s="1"/>
  <c r="F90" i="5" a="1"/>
  <c r="F90" i="5" s="1"/>
  <c r="F101" i="5" a="1"/>
  <c r="F101" i="5" s="1"/>
  <c r="M16" i="2" s="1"/>
  <c r="B100" i="5"/>
  <c r="E100" i="5"/>
  <c r="C100" i="5"/>
  <c r="G101" i="5" a="1"/>
  <c r="G101" i="5" s="1"/>
  <c r="C97" i="5"/>
  <c r="G98" i="5" a="1"/>
  <c r="G98" i="5" s="1"/>
  <c r="F98" i="5" a="1"/>
  <c r="F98" i="5" s="1"/>
  <c r="D97" i="5"/>
  <c r="J39" i="1"/>
  <c r="D34" i="5"/>
  <c r="D35" i="5" s="1"/>
  <c r="D36" i="5" s="1"/>
  <c r="J11" i="2"/>
  <c r="I12" i="2"/>
  <c r="G48" i="5"/>
  <c r="F48" i="5"/>
  <c r="E48" i="5"/>
  <c r="D48" i="5"/>
  <c r="C48" i="5"/>
  <c r="B48" i="5"/>
  <c r="J34" i="5"/>
  <c r="J35" i="5" s="1"/>
  <c r="J36" i="5" s="1"/>
  <c r="E49" i="5"/>
  <c r="D49" i="5"/>
  <c r="C49" i="5"/>
  <c r="B49" i="5"/>
  <c r="G49" i="5"/>
  <c r="F49" i="5"/>
  <c r="E57" i="5"/>
  <c r="D57" i="5"/>
  <c r="C57" i="5"/>
  <c r="B57" i="5"/>
  <c r="G57" i="5"/>
  <c r="F57" i="5"/>
  <c r="I10" i="2"/>
  <c r="E34" i="5"/>
  <c r="E35" i="5" s="1"/>
  <c r="E36" i="5" s="1"/>
  <c r="C52" i="5"/>
  <c r="B52" i="5"/>
  <c r="D52" i="5"/>
  <c r="G52" i="5"/>
  <c r="F52" i="5"/>
  <c r="E52" i="5"/>
  <c r="G54" i="5"/>
  <c r="F54" i="5"/>
  <c r="E54" i="5"/>
  <c r="D54" i="5"/>
  <c r="C54" i="5"/>
  <c r="B54" i="5"/>
  <c r="C91" i="5"/>
  <c r="B91" i="5"/>
  <c r="G92" i="5" a="1"/>
  <c r="G92" i="5" s="1"/>
  <c r="F92" i="5" a="1"/>
  <c r="F92" i="5" s="1"/>
  <c r="E91" i="5"/>
  <c r="D91" i="5"/>
  <c r="F58" i="5"/>
  <c r="G58" i="5"/>
  <c r="E58" i="5"/>
  <c r="D58" i="5"/>
  <c r="C58" i="5"/>
  <c r="B58" i="5"/>
  <c r="D53" i="5"/>
  <c r="G53" i="5"/>
  <c r="E53" i="5"/>
  <c r="F53" i="5"/>
  <c r="C53" i="5"/>
  <c r="B53" i="5"/>
  <c r="G55" i="5"/>
  <c r="F55" i="5"/>
  <c r="E55" i="5"/>
  <c r="D55" i="5"/>
  <c r="C55" i="5"/>
  <c r="B55" i="5"/>
  <c r="B92" i="5"/>
  <c r="E92" i="5"/>
  <c r="D92" i="5"/>
  <c r="C92" i="5"/>
  <c r="G93" i="5" a="1"/>
  <c r="G93" i="5" s="1"/>
  <c r="F93" i="5" a="1"/>
  <c r="F93" i="5" s="1"/>
  <c r="C93" i="5"/>
  <c r="B93" i="5"/>
  <c r="G94" i="5" a="1"/>
  <c r="G94" i="5" s="1"/>
  <c r="F94" i="5" a="1"/>
  <c r="F94" i="5" s="1"/>
  <c r="E93" i="5"/>
  <c r="D93" i="5"/>
  <c r="E94" i="5"/>
  <c r="D94" i="5"/>
  <c r="C94" i="5"/>
  <c r="B94" i="5"/>
  <c r="G95" i="5" a="1"/>
  <c r="G95" i="5" s="1"/>
  <c r="F95" i="5" a="1"/>
  <c r="F95" i="5" s="1"/>
  <c r="F124" i="5"/>
  <c r="I5" i="2"/>
  <c r="H16" i="2"/>
  <c r="Q16" i="2" s="1"/>
  <c r="J50" i="1" s="1"/>
  <c r="E17" i="2"/>
  <c r="G124" i="5"/>
  <c r="I16" i="2"/>
  <c r="F119" i="5"/>
  <c r="B125" i="5"/>
  <c r="F127" i="5"/>
  <c r="H6" i="2"/>
  <c r="Q6" i="2" s="1"/>
  <c r="J40" i="1" s="1"/>
  <c r="I11" i="2"/>
  <c r="G119" i="5"/>
  <c r="K6" i="2" s="1"/>
  <c r="E122" i="5"/>
  <c r="C125" i="5"/>
  <c r="G127" i="5"/>
  <c r="I6" i="2"/>
  <c r="B120" i="5"/>
  <c r="F122" i="5"/>
  <c r="D125" i="5"/>
  <c r="B128" i="5"/>
  <c r="J6" i="2"/>
  <c r="H12" i="2"/>
  <c r="Q12" i="2" s="1"/>
  <c r="J46" i="1" s="1"/>
  <c r="C120" i="5"/>
  <c r="G122" i="5"/>
  <c r="E125" i="5"/>
  <c r="C128" i="5"/>
  <c r="I7" i="2"/>
  <c r="J12" i="2"/>
  <c r="J7" i="2"/>
  <c r="H13" i="2"/>
  <c r="Q13" i="2" s="1"/>
  <c r="J47" i="1" s="1"/>
  <c r="B118" i="5"/>
  <c r="F120" i="5"/>
  <c r="D123" i="5"/>
  <c r="B126" i="5"/>
  <c r="F128" i="5"/>
  <c r="H8" i="2"/>
  <c r="Q8" i="2" s="1"/>
  <c r="J42" i="1" s="1"/>
  <c r="I13" i="2"/>
  <c r="C118" i="5"/>
  <c r="G120" i="5"/>
  <c r="E123" i="5"/>
  <c r="C126" i="5"/>
  <c r="G128" i="5"/>
  <c r="I8" i="2"/>
  <c r="J13" i="2"/>
  <c r="D118" i="5"/>
  <c r="B121" i="5"/>
  <c r="F123" i="5"/>
  <c r="D126" i="5"/>
  <c r="B129" i="5"/>
  <c r="J8" i="2"/>
  <c r="H14" i="2"/>
  <c r="Q14" i="2" s="1"/>
  <c r="J48" i="1" s="1"/>
  <c r="E118" i="5"/>
  <c r="C121" i="5"/>
  <c r="G123" i="5"/>
  <c r="E126" i="5"/>
  <c r="C129" i="5"/>
  <c r="H9" i="2"/>
  <c r="Q9" i="2" s="1"/>
  <c r="J43" i="1" s="1"/>
  <c r="I14" i="2"/>
  <c r="F118" i="5"/>
  <c r="D121" i="5"/>
  <c r="B124" i="5"/>
  <c r="F126" i="5"/>
  <c r="D129" i="5"/>
  <c r="I9" i="2"/>
  <c r="G118" i="5"/>
  <c r="E121" i="5"/>
  <c r="C124" i="5"/>
  <c r="G126" i="5"/>
  <c r="E129" i="5"/>
  <c r="J9" i="2"/>
  <c r="B119" i="5"/>
  <c r="F121" i="5"/>
  <c r="F129" i="5"/>
  <c r="C119" i="5"/>
  <c r="G121" i="5"/>
  <c r="K14" i="2" l="1"/>
  <c r="M6" i="2"/>
  <c r="M13" i="2"/>
  <c r="E97" i="5"/>
  <c r="K9" i="2"/>
  <c r="K15" i="2"/>
  <c r="M7" i="2"/>
  <c r="K12" i="2"/>
  <c r="K13" i="2"/>
  <c r="K7" i="2"/>
  <c r="K10" i="2"/>
  <c r="M15" i="2"/>
  <c r="K8" i="2"/>
  <c r="H17" i="2"/>
  <c r="F6" i="1" s="1"/>
  <c r="L14" i="2"/>
  <c r="K5" i="2"/>
  <c r="L15" i="2"/>
  <c r="M9" i="2"/>
  <c r="L12" i="2"/>
  <c r="F50" i="5"/>
  <c r="G50" i="5"/>
  <c r="E50" i="5"/>
  <c r="D50" i="5"/>
  <c r="C50" i="5"/>
  <c r="B50" i="5"/>
  <c r="M5" i="2"/>
  <c r="L6" i="2"/>
  <c r="N6" i="2" s="1"/>
  <c r="Q17" i="2"/>
  <c r="M11" i="2"/>
  <c r="L9" i="2"/>
  <c r="G51" i="5"/>
  <c r="F51" i="5"/>
  <c r="E51" i="5"/>
  <c r="D51" i="5"/>
  <c r="C51" i="5"/>
  <c r="B51" i="5"/>
  <c r="L8" i="2" s="1"/>
  <c r="M14" i="2"/>
  <c r="L10" i="2"/>
  <c r="G56" i="5"/>
  <c r="F56" i="5"/>
  <c r="E56" i="5"/>
  <c r="D56" i="5"/>
  <c r="C56" i="5"/>
  <c r="B56" i="5"/>
  <c r="M8" i="2"/>
  <c r="L5" i="2"/>
  <c r="M12" i="2"/>
  <c r="L16" i="2"/>
  <c r="K16" i="2"/>
  <c r="N16" i="2" s="1"/>
  <c r="J17" i="2"/>
  <c r="B40" i="1" s="1"/>
  <c r="M10" i="2"/>
  <c r="K11" i="2"/>
  <c r="L11" i="2"/>
  <c r="I17" i="2"/>
  <c r="B39" i="1" s="1"/>
  <c r="N9" i="2" l="1"/>
  <c r="N15" i="2"/>
  <c r="N14" i="2"/>
  <c r="N12" i="2"/>
  <c r="N8" i="2"/>
  <c r="H42" i="1" s="1"/>
  <c r="N10" i="2"/>
  <c r="T10" i="2" s="1"/>
  <c r="G44" i="1" s="1"/>
  <c r="N11" i="2"/>
  <c r="T11" i="2" s="1"/>
  <c r="G45" i="1" s="1"/>
  <c r="T16" i="2"/>
  <c r="G50" i="1" s="1"/>
  <c r="H50" i="1"/>
  <c r="T15" i="2"/>
  <c r="G49" i="1" s="1"/>
  <c r="H49" i="1"/>
  <c r="H46" i="1"/>
  <c r="T12" i="2"/>
  <c r="G46" i="1" s="1"/>
  <c r="H48" i="1"/>
  <c r="T14" i="2"/>
  <c r="G48" i="1" s="1"/>
  <c r="L13" i="2"/>
  <c r="N13" i="2" s="1"/>
  <c r="T6" i="2"/>
  <c r="G40" i="1" s="1"/>
  <c r="H40" i="1"/>
  <c r="K17" i="2"/>
  <c r="B41" i="1" s="1"/>
  <c r="M17" i="2"/>
  <c r="B43" i="1" s="1"/>
  <c r="L7" i="2"/>
  <c r="N7" i="2" s="1"/>
  <c r="T9" i="2"/>
  <c r="G43" i="1" s="1"/>
  <c r="H43" i="1"/>
  <c r="H45" i="1" l="1"/>
  <c r="H44" i="1"/>
  <c r="T8" i="2"/>
  <c r="G42" i="1" s="1"/>
  <c r="H47" i="1"/>
  <c r="T13" i="2"/>
  <c r="G47" i="1" s="1"/>
  <c r="L17" i="2"/>
  <c r="B42" i="1" s="1"/>
  <c r="H41" i="1"/>
  <c r="T7" i="2"/>
  <c r="G41" i="1" s="1"/>
  <c r="T5" i="2"/>
  <c r="N17" i="2"/>
  <c r="B44" i="1" s="1"/>
  <c r="H39" i="1"/>
  <c r="G39" i="1" l="1"/>
  <c r="T17" i="2"/>
  <c r="F5" i="1" l="1"/>
  <c r="F7" i="1" s="1"/>
  <c r="B5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<sst xmlns="http://schemas.openxmlformats.org/spreadsheetml/2006/main" count="496" uniqueCount="238">
  <si>
    <t>PRESUPUESTO 2025 — CUÑO CORRIENTE | MODELO RECONSTRUIDO</t>
  </si>
  <si>
    <t>Casa de Moneda de México | Correcciones acordadas: inflación 3.96%, TC 19.36, energía +15%, costos fijos +3.96%, sin doble suma de acuñación/cospeleo.</t>
  </si>
  <si>
    <t>SUPUESTOS DEL MODELO</t>
  </si>
  <si>
    <t>RESUMEN EJECUTIVO</t>
  </si>
  <si>
    <t>Factor de inflación 2025</t>
  </si>
  <si>
    <t>3.96%</t>
  </si>
  <si>
    <t>Presupuesto total corregido</t>
  </si>
  <si>
    <t>Tipo de cambio (MXN/USD)</t>
  </si>
  <si>
    <t>Fijo en todo el documento</t>
  </si>
  <si>
    <t>Piezas anuales</t>
  </si>
  <si>
    <t>Incremento energía</t>
  </si>
  <si>
    <t>Aplicado al costo unitario base 2024</t>
  </si>
  <si>
    <t>Costo promedio por pieza</t>
  </si>
  <si>
    <t>Costo unitario energía base 2024</t>
  </si>
  <si>
    <t>MXN/pieza</t>
  </si>
  <si>
    <t>TC aplicado</t>
  </si>
  <si>
    <t>Costo unitario energía 2025</t>
  </si>
  <si>
    <t>Base × (1 + 15%)</t>
  </si>
  <si>
    <t>Recuperación scrap</t>
  </si>
  <si>
    <t>93%</t>
  </si>
  <si>
    <t>Personal eventual mensual</t>
  </si>
  <si>
    <t>MXN/mes</t>
  </si>
  <si>
    <t>Sobrecargos mensuales</t>
  </si>
  <si>
    <t>Costo fijo acuñación base mensual</t>
  </si>
  <si>
    <t>Valor contenido en archivo original</t>
  </si>
  <si>
    <t>Costo fijo cospel base mensual</t>
  </si>
  <si>
    <t>Factor actualización costos fijos</t>
  </si>
  <si>
    <t>Mismo factor de inflación: 3.96%</t>
  </si>
  <si>
    <t>DIAGRAMA DE INTEGRACIÓN DEL PRESUPUESTO</t>
  </si>
  <si>
    <t>DEMANDA BANXICO
# piezas por denominación
(hoja 3)</t>
  </si>
  <si>
    <t>→</t>
  </si>
  <si>
    <t>COSTOS VARIABLES
Acuñación + Cospeleo + Acero + Bronce-Al + Alpaca</t>
  </si>
  <si>
    <t>LIBRANZA ORDINARIA
Incluye todos los costos variables</t>
  </si>
  <si>
    <t>PERSONAL
EVENTUAL</t>
  </si>
  <si>
    <t>SOBRECARGOS</t>
  </si>
  <si>
    <t>ENERGÍA
(+15%)</t>
  </si>
  <si>
    <t>COSTO FIJO
ACUÑACIÓN (+3.96%)</t>
  </si>
  <si>
    <t>COSTO FIJO
COSPEL (+3.96%)</t>
  </si>
  <si>
    <t>↓      TODOS LOS CONCEPTOS ANTERIORES SE INTEGRAN UNA SOLA VEZ      ↓</t>
  </si>
  <si>
    <t>TOTAL PRESUPUESTO 2025</t>
  </si>
  <si>
    <t>INTEGRACIÓN ANUAL DEL PRESUPUESTO</t>
  </si>
  <si>
    <t>Concepto</t>
  </si>
  <si>
    <t>Importe anual</t>
  </si>
  <si>
    <t>Tratamiento</t>
  </si>
  <si>
    <t>¿Suma al total?</t>
  </si>
  <si>
    <t>Mes</t>
  </si>
  <si>
    <t>Presupuesto mensual</t>
  </si>
  <si>
    <t>Libranza</t>
  </si>
  <si>
    <t>Fijos</t>
  </si>
  <si>
    <t>Energía</t>
  </si>
  <si>
    <t>Acuñación variable</t>
  </si>
  <si>
    <t>Dentro de Libranza</t>
  </si>
  <si>
    <t>NO adicional</t>
  </si>
  <si>
    <t>Enero</t>
  </si>
  <si>
    <t>Cospeleo variable</t>
  </si>
  <si>
    <t>Febrero</t>
  </si>
  <si>
    <t>Acero inoxidable</t>
  </si>
  <si>
    <t>Marzo</t>
  </si>
  <si>
    <t>Bronce-aluminio / NACOBRE</t>
  </si>
  <si>
    <t>Abril</t>
  </si>
  <si>
    <t>Alpaca / CUNI</t>
  </si>
  <si>
    <t>Mayo</t>
  </si>
  <si>
    <t>Libranza ordinaria</t>
  </si>
  <si>
    <t>Suma costos variables</t>
  </si>
  <si>
    <t>SÍ</t>
  </si>
  <si>
    <t>Junio</t>
  </si>
  <si>
    <t>Personal eventual</t>
  </si>
  <si>
    <t>Costo adicional</t>
  </si>
  <si>
    <t>Julio</t>
  </si>
  <si>
    <t>Sobrecargos</t>
  </si>
  <si>
    <t>Agosto</t>
  </si>
  <si>
    <t>Energía eléctrica</t>
  </si>
  <si>
    <t>Costo separado; +15%</t>
  </si>
  <si>
    <t>Septiembre</t>
  </si>
  <si>
    <t>Costo fijo acuñación</t>
  </si>
  <si>
    <t>Actualizado 3.96%</t>
  </si>
  <si>
    <t>Octubre</t>
  </si>
  <si>
    <t>Costo fijo cospel</t>
  </si>
  <si>
    <t>Noviembre</t>
  </si>
  <si>
    <t>TOTAL PRESUPUESTO</t>
  </si>
  <si>
    <t>Sin dobles conteos</t>
  </si>
  <si>
    <t>Diciembre</t>
  </si>
  <si>
    <t>NOTAS DE TRAZABILIDAD Y REVISIÓN</t>
  </si>
  <si>
    <t>Inflación</t>
  </si>
  <si>
    <t>Tipo de cambio</t>
  </si>
  <si>
    <t>CÁLCULO MENSUAL DEL PRESUPUESTO 2025</t>
  </si>
  <si>
    <t>Pzas $0.50</t>
  </si>
  <si>
    <t>Pzas $1</t>
  </si>
  <si>
    <t>Pzas $2</t>
  </si>
  <si>
    <t>Pzas $5</t>
  </si>
  <si>
    <t>Pzas $10</t>
  </si>
  <si>
    <t>Pzas $20</t>
  </si>
  <si>
    <t>Total piezas</t>
  </si>
  <si>
    <t>Acuñación var.</t>
  </si>
  <si>
    <t>Cospeleo var.</t>
  </si>
  <si>
    <t>Acero inox.</t>
  </si>
  <si>
    <t>Bronce-Al</t>
  </si>
  <si>
    <t>Alpaca</t>
  </si>
  <si>
    <t>Fijo acuñación</t>
  </si>
  <si>
    <t>Fijo cospel</t>
  </si>
  <si>
    <t>TOTAL PRESUP.</t>
  </si>
  <si>
    <t>TOTAL ANUAL</t>
  </si>
  <si>
    <t>TARIFAS UNITARIAS — ACUÑACIÓN Y COSPELEO</t>
  </si>
  <si>
    <t>CONTROL DE MODELO
• Acuñación y cospeleo: se eliminó el factor 1.16 que estaba mezclado con inflación.
• Libranza = Acuñación + Cospeleo + Acero + Bronce-Al + Alpaca.
• El TOTAL no vuelve a sumar Acuñación ni Cospeleo.
• Energía = piezas × costo unitario actualizado +15%.
• Fijos = base mensual × 1.0396.
• Bronce-Al y Alpaca usan los valores exactos almacenados en el archivo legado; los vínculos externos fueron eliminados.</t>
  </si>
  <si>
    <t>CONTROL DE MODELO
• Acuñación y cospeleo: se mantienen integrados una sola vez en Libranza.
• K:M se calculan desde las tarifas unitarias centralizadas en METALES 2025.
• METALES 2025 documenta pronósticos A–D, premios, composición y valor de Bronce-Al/Alpaca.
• Acero: se documenta precio base + sobrecargo como referencia; las tarifas presupuestales se conservan hasta validar la fórmula contractual completa.</t>
  </si>
  <si>
    <t>$0.5</t>
  </si>
  <si>
    <t>$1</t>
  </si>
  <si>
    <t>$2</t>
  </si>
  <si>
    <t>$5</t>
  </si>
  <si>
    <t>$10</t>
  </si>
  <si>
    <t>$20</t>
  </si>
  <si>
    <t>Acuñación base 2024</t>
  </si>
  <si>
    <t>Factor inflación</t>
  </si>
  <si>
    <t>Acuñación 2025 corregida</t>
  </si>
  <si>
    <t>Cospeleo base 2024</t>
  </si>
  <si>
    <t>Cospeleo 2025 corregido</t>
  </si>
  <si>
    <t>ESTIMACIÓN CALENDARIZADA DE DEMANDA BANXICO 2025</t>
  </si>
  <si>
    <t>Fuente: ESTIMACIONCALENDARIZADADEMANDA2025BANXICOCURSOLEGAL2670millonesm20 045 2024 BANXICOCESCENARIOFUTUROSmasIVA TC 19.36.xls</t>
  </si>
  <si>
    <t>$0.50</t>
  </si>
  <si>
    <t>$1.00</t>
  </si>
  <si>
    <t>$2.00</t>
  </si>
  <si>
    <t>$5.00</t>
  </si>
  <si>
    <t>$10.00</t>
  </si>
  <si>
    <t>$20.00</t>
  </si>
  <si>
    <t>Total (millones)</t>
  </si>
  <si>
    <t>Supuesto fuente</t>
  </si>
  <si>
    <t>Valor</t>
  </si>
  <si>
    <t>Unidad / comentario</t>
  </si>
  <si>
    <t>Tratamiento en modelo reconstruido</t>
  </si>
  <si>
    <t>MXN/USD</t>
  </si>
  <si>
    <t>Se fija en 19.36 en todo el modelo</t>
  </si>
  <si>
    <t>Volumen anual</t>
  </si>
  <si>
    <t>millones de piezas</t>
  </si>
  <si>
    <t>Se conserva</t>
  </si>
  <si>
    <t>Distribución mensual</t>
  </si>
  <si>
    <t>Distribución 2024</t>
  </si>
  <si>
    <t>Nota del archivo fuente</t>
  </si>
  <si>
    <t>Distribución trimestral</t>
  </si>
  <si>
    <t>Anual / 4</t>
  </si>
  <si>
    <t>Hoja fuente utilizada</t>
  </si>
  <si>
    <t>Estimado Producción 2025</t>
  </si>
  <si>
    <t>Del segundo .xls</t>
  </si>
  <si>
    <t>Base para las piezas por denominación</t>
  </si>
  <si>
    <t>REQUERIMIENTOS / SUPUESTOS TÉCNICOS PRESENTES EN EL ARCHIVO FUENTE</t>
  </si>
  <si>
    <t>10¢ / acero</t>
  </si>
  <si>
    <t>$1 ari</t>
  </si>
  <si>
    <t>$2 ari</t>
  </si>
  <si>
    <t>$5 ari</t>
  </si>
  <si>
    <t>50¢ / bronce</t>
  </si>
  <si>
    <t>$1 nuc</t>
  </si>
  <si>
    <t>% scrap / indicador fuente</t>
  </si>
  <si>
    <t>Gramos por pieza</t>
  </si>
  <si>
    <t>Rendimiento producción</t>
  </si>
  <si>
    <t>Observación</t>
  </si>
  <si>
    <t>Valores copiados como datos</t>
  </si>
  <si>
    <t>del archivo</t>
  </si>
  <si>
    <t>fuente; no se</t>
  </si>
  <si>
    <t>usan directamente</t>
  </si>
  <si>
    <t>en el total</t>
  </si>
  <si>
    <t>del presupuesto</t>
  </si>
  <si>
    <t>METALES 2025 BUENO — FORMACIÓN DE VALORES Y TARIFAS</t>
  </si>
  <si>
    <t>Hoja fuente para MESES 2025. Sin factores de homologación y sin celdas combinadas.</t>
  </si>
  <si>
    <t>SUPUESTO</t>
  </si>
  <si>
    <t>VALOR</t>
  </si>
  <si>
    <t>UNIDAD</t>
  </si>
  <si>
    <t>FUENTE / CRITERIO</t>
  </si>
  <si>
    <t>Fijo 2025</t>
  </si>
  <si>
    <t>FAA / IVA</t>
  </si>
  <si>
    <t>%</t>
  </si>
  <si>
    <t>EJEMPLO ENERO 2</t>
  </si>
  <si>
    <t>Recuperación de scrap</t>
  </si>
  <si>
    <t>% anual</t>
  </si>
  <si>
    <t>Presupuesto 2025</t>
  </si>
  <si>
    <t>PRONÓSTICOS MENSUALES DE METALES — INSUMOS A–D</t>
  </si>
  <si>
    <t>METAL</t>
  </si>
  <si>
    <t>BASE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</si>
  <si>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</si>
  <si>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</si>
  <si>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</si>
  <si>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</si>
  <si>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</si>
  <si>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</si>
  <si>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</si>
  <si>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</si>
  <si>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</si>
  <si>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</si>
  <si>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</si>
  <si>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</si>
  <si>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COBRE</t>
  </si>
  <si>
    <t>ALUMINIO</t>
  </si>
  <si>
    <t>NÍQUEL</t>
  </si>
  <si>
    <t>ZINC</t>
  </si>
  <si>
    <t>BRONCE-ALUMINIO / NACOBRE — FORMACIÓN DEL VALOR Y TARIFAS</t>
  </si>
  <si>
    <t>PARÁMETRO</t>
  </si>
  <si>
    <t>Composición cobre</t>
  </si>
  <si>
    <t>Fijo</t>
  </si>
  <si>
    <t>Composición aluminio</t>
  </si>
  <si>
    <t>Composición níquel</t>
  </si>
  <si>
    <t>Premio cobre</t>
  </si>
  <si>
    <t>USD/kg</t>
  </si>
  <si>
    <t>Premio aluminio</t>
  </si>
  <si>
    <t>% del precio Al</t>
  </si>
  <si>
    <t>Premio níquel</t>
  </si>
  <si>
    <t>Costo transformación</t>
  </si>
  <si>
    <t>Valor base enero aleación sin FAA</t>
  </si>
  <si>
    <t>CONCEPTO</t>
  </si>
  <si>
    <t>Componente Cu teórico</t>
  </si>
  <si>
    <t>Componente Al teórico</t>
  </si>
  <si>
    <t>Componente Ni teórico</t>
  </si>
  <si>
    <t>Índice teórico aleación</t>
  </si>
  <si>
    <t>Variación vs enero</t>
  </si>
  <si>
    <t>Valor aleación sin FAA</t>
  </si>
  <si>
    <t>Valor aleación con FAA</t>
  </si>
  <si>
    <t>PARÁMETROS POR DENOMINACIÓN</t>
  </si>
  <si>
    <t>Gramos finales por pieza</t>
  </si>
  <si>
    <t>Scrap</t>
  </si>
  <si>
    <t>Rendimiento</t>
  </si>
  <si>
    <t>TARIFAS CALCULADAS — BRONCE-ALUMINIO (MXN/pieza)</t>
  </si>
  <si>
    <t>ALPACA / CUNI — FORMACIÓN DEL VALOR Y TARIFAS</t>
  </si>
  <si>
    <t>Composición zinc</t>
  </si>
  <si>
    <t>Premio zinc</t>
  </si>
  <si>
    <t>Componente Cu</t>
  </si>
  <si>
    <t>Componente Ni</t>
  </si>
  <si>
    <t>Componente Zn</t>
  </si>
  <si>
    <t>TARIFAS CALCULADAS — ALPACA / CUNI (MXN/pieza)</t>
  </si>
  <si>
    <t>ACERO INOXIDABLE — TARIFAS BASE</t>
  </si>
  <si>
    <t>Costo base USD/pieza</t>
  </si>
  <si>
    <t>Tarifa MXN/pieza</t>
  </si>
  <si>
    <t>REFERENCIA COMERCIAL ACERO</t>
  </si>
  <si>
    <t>NOTA</t>
  </si>
  <si>
    <t>Precio base acero</t>
  </si>
  <si>
    <t>USD/ton</t>
  </si>
  <si>
    <t>Referencia proporcionada</t>
  </si>
  <si>
    <t>Sobrecargo</t>
  </si>
  <si>
    <t>Uso</t>
  </si>
  <si>
    <t>Informativo</t>
  </si>
  <si>
    <t>No alimenta la tarifa por pieza mientras no exista fórmula contractual completa de conversión.</t>
  </si>
  <si>
    <t>TARIFAS CALCULADAS — ACERO INOXIDABLE (MXN/pieza)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</si>
</sst>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0"/>
    <numFmt numFmtId="165" formatCode="0.0"/>
    <numFmt numFmtId="166" formatCode="0.0000"/>
    <numFmt numFmtId="167" formatCode="0.000000000"/>
    <numFmt numFmtId="168" formatCode="\$#,##0.00;[Red]\(\$#,##0.00\);\-"/>
    <numFmt numFmtId="169" formatCode="#,##0;[Red]\(#,##0\);\-"/>
    <numFmt numFmtId="170" formatCode="\$0.0000"/>
    <numFmt numFmtId="171" formatCode="0.000000"/>
    <numFmt numFmtId="172" formatCode="0.00000000"/>
    <numFmt numFmtId="173" formatCode="0.00000000000"/>
    <numFmt numFmtId="174" formatCode="#,##0.000000;[Red]#,##0.000000"/>
    <numFmt numFmtId="175" formatCode="0.0%"/>
  </numFmts>
  <fonts count="20">
    <font>
      <sz val="11"/>
      <name val="Carlito"/>
    </font>
    <font>
      <b/>
      <sz val="14"/>
      <color rgb="FFFFFFFF"/>
      <name val="Carlito"/>
    </font>
    <font>
      <i/>
      <sz val="9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1"/>
      <name val="Carlito"/>
    </font>
    <font>
      <b/>
      <sz val="15"/>
      <color rgb="FFFFFFFF"/>
      <name val="Carlito"/>
    </font>
    <font>
      <i/>
      <sz val="11"/>
      <name val="Carlito"/>
    </font>
    <font>
      <sz val="11"/>
      <color rgb="FF000000"/>
      <name val="Carlito"/>
    </font>
    <font>
      <sz val="11"/>
      <color rgb="FF008000"/>
      <name val="Carlito"/>
    </font>
    <font>
      <b/>
      <sz val="18"/>
      <name val="Carlito"/>
    </font>
    <font>
      <b/>
      <sz val="16"/>
      <color rgb="FFFFFFFF"/>
      <name val="Carlito"/>
    </font>
    <font>
      <b/>
      <sz val="11"/>
      <color rgb="FF008000"/>
      <name val="Carlito"/>
    </font>
    <font>
      <b/>
      <sz val="11"/>
      <color rgb="FFC00000"/>
      <name val="Carlito"/>
    </font>
    <font>
      <b/>
      <sz val="10"/>
      <color rgb="FFFFFFFF"/>
      <name val="Arial"/>
      <family val="2"/>
    </font>
    <font>
      <i/>
      <sz val="10"/>
      <color rgb="FF00000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4B183"/>
      </patternFill>
    </fill>
    <fill>
      <patternFill patternType="solid">
        <fgColor rgb="FFFFF2CC"/>
      </patternFill>
    </fill>
    <fill>
      <patternFill patternType="solid">
        <fgColor theme="3" tint="0.49992370372631001"/>
        <bgColor indexed="6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5" fillId="5" borderId="0" xfId="0" applyFont="1" applyFill="1"/>
    <xf numFmtId="0" fontId="5" fillId="5" borderId="1" xfId="0" applyFont="1" applyFill="1" applyBorder="1"/>
    <xf numFmtId="2" fontId="4" fillId="0" borderId="0" xfId="0" applyNumberFormat="1" applyFont="1"/>
    <xf numFmtId="0" fontId="5" fillId="6" borderId="0" xfId="0" applyFont="1" applyFill="1"/>
    <xf numFmtId="166" fontId="4" fillId="0" borderId="0" xfId="0" applyNumberFormat="1" applyFont="1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 wrapText="1"/>
    </xf>
    <xf numFmtId="164" fontId="4" fillId="0" borderId="0" xfId="0" applyNumberFormat="1" applyFont="1" applyAlignment="1">
      <alignment wrapText="1"/>
    </xf>
    <xf numFmtId="0" fontId="5" fillId="5" borderId="1" xfId="0" applyFont="1" applyFill="1" applyBorder="1" applyAlignment="1">
      <alignment wrapText="1"/>
    </xf>
    <xf numFmtId="164" fontId="5" fillId="5" borderId="1" xfId="0" applyNumberFormat="1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2" fontId="4" fillId="0" borderId="0" xfId="0" applyNumberFormat="1" applyFont="1" applyAlignment="1">
      <alignment wrapText="1"/>
    </xf>
    <xf numFmtId="165" fontId="4" fillId="0" borderId="0" xfId="0" applyNumberFormat="1" applyFont="1" applyAlignment="1">
      <alignment wrapText="1"/>
    </xf>
    <xf numFmtId="0" fontId="5" fillId="6" borderId="0" xfId="0" applyFont="1" applyFill="1" applyAlignment="1">
      <alignment wrapText="1"/>
    </xf>
    <xf numFmtId="166" fontId="4" fillId="0" borderId="0" xfId="0" applyNumberFormat="1" applyFont="1" applyAlignment="1">
      <alignment wrapText="1"/>
    </xf>
    <xf numFmtId="10" fontId="4" fillId="0" borderId="0" xfId="0" applyNumberFormat="1" applyFont="1"/>
    <xf numFmtId="167" fontId="4" fillId="0" borderId="0" xfId="0" applyNumberFormat="1" applyFont="1"/>
    <xf numFmtId="168" fontId="4" fillId="0" borderId="0" xfId="0" applyNumberFormat="1" applyFont="1"/>
    <xf numFmtId="167" fontId="8" fillId="0" borderId="0" xfId="0" applyNumberFormat="1" applyFont="1"/>
    <xf numFmtId="168" fontId="9" fillId="0" borderId="0" xfId="0" applyNumberFormat="1" applyFont="1"/>
    <xf numFmtId="169" fontId="9" fillId="0" borderId="0" xfId="0" applyNumberFormat="1" applyFont="1"/>
    <xf numFmtId="170" fontId="9" fillId="0" borderId="0" xfId="0" applyNumberFormat="1" applyFont="1"/>
    <xf numFmtId="2" fontId="9" fillId="0" borderId="0" xfId="0" applyNumberFormat="1" applyFont="1"/>
    <xf numFmtId="0" fontId="5" fillId="3" borderId="0" xfId="0" applyFont="1" applyFill="1"/>
    <xf numFmtId="168" fontId="12" fillId="5" borderId="1" xfId="0" applyNumberFormat="1" applyFont="1" applyFill="1" applyBorder="1"/>
    <xf numFmtId="0" fontId="0" fillId="0" borderId="0" xfId="0" applyAlignment="1">
      <alignment horizontal="center" wrapText="1"/>
    </xf>
    <xf numFmtId="0" fontId="13" fillId="9" borderId="0" xfId="0" applyFont="1" applyFill="1" applyAlignment="1">
      <alignment wrapText="1"/>
    </xf>
    <xf numFmtId="169" fontId="9" fillId="0" borderId="0" xfId="0" applyNumberFormat="1" applyFont="1" applyAlignment="1">
      <alignment wrapText="1"/>
    </xf>
    <xf numFmtId="169" fontId="0" fillId="0" borderId="0" xfId="0" applyNumberFormat="1" applyAlignment="1">
      <alignment wrapText="1"/>
    </xf>
    <xf numFmtId="168" fontId="0" fillId="0" borderId="0" xfId="0" applyNumberFormat="1" applyAlignment="1">
      <alignment wrapText="1"/>
    </xf>
    <xf numFmtId="168" fontId="9" fillId="0" borderId="0" xfId="0" applyNumberFormat="1" applyFont="1" applyAlignment="1">
      <alignment wrapText="1"/>
    </xf>
    <xf numFmtId="169" fontId="5" fillId="5" borderId="1" xfId="0" applyNumberFormat="1" applyFont="1" applyFill="1" applyBorder="1" applyAlignment="1">
      <alignment wrapText="1"/>
    </xf>
    <xf numFmtId="168" fontId="5" fillId="5" borderId="1" xfId="0" applyNumberFormat="1" applyFont="1" applyFill="1" applyBorder="1" applyAlignment="1">
      <alignment wrapText="1"/>
    </xf>
    <xf numFmtId="171" fontId="0" fillId="0" borderId="0" xfId="0" applyNumberFormat="1" applyAlignment="1">
      <alignment wrapText="1"/>
    </xf>
    <xf numFmtId="171" fontId="4" fillId="0" borderId="0" xfId="0" applyNumberFormat="1" applyFont="1" applyAlignment="1">
      <alignment wrapText="1"/>
    </xf>
    <xf numFmtId="171" fontId="9" fillId="0" borderId="0" xfId="0" applyNumberFormat="1" applyFont="1" applyAlignment="1">
      <alignment wrapText="1"/>
    </xf>
    <xf numFmtId="172" fontId="4" fillId="0" borderId="0" xfId="0" applyNumberFormat="1" applyFont="1" applyAlignment="1">
      <alignment wrapText="1"/>
    </xf>
    <xf numFmtId="173" fontId="0" fillId="0" borderId="0" xfId="0" applyNumberFormat="1" applyAlignment="1">
      <alignment wrapText="1"/>
    </xf>
    <xf numFmtId="0" fontId="3" fillId="10" borderId="0" xfId="0" applyFont="1" applyFill="1" applyAlignment="1">
      <alignment horizontal="center" wrapText="1"/>
    </xf>
    <xf numFmtId="174" fontId="0" fillId="0" borderId="0" xfId="0" applyNumberFormat="1" applyAlignment="1">
      <alignment wrapText="1"/>
    </xf>
    <xf numFmtId="0" fontId="14" fillId="11" borderId="0" xfId="0" applyFont="1" applyFill="1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8" fillId="12" borderId="0" xfId="0" applyFont="1" applyFill="1" applyAlignment="1">
      <alignment wrapText="1"/>
    </xf>
    <xf numFmtId="0" fontId="17" fillId="0" borderId="0" xfId="0" applyFont="1" applyAlignment="1">
      <alignment wrapText="1"/>
    </xf>
    <xf numFmtId="175" fontId="17" fillId="0" borderId="0" xfId="0" applyNumberFormat="1" applyFont="1" applyAlignment="1">
      <alignment wrapText="1"/>
    </xf>
    <xf numFmtId="171" fontId="17" fillId="0" borderId="0" xfId="0" applyNumberFormat="1" applyFont="1" applyAlignment="1">
      <alignment wrapText="1"/>
    </xf>
    <xf numFmtId="10" fontId="17" fillId="0" borderId="0" xfId="0" applyNumberFormat="1" applyFont="1" applyAlignment="1">
      <alignment wrapText="1"/>
    </xf>
    <xf numFmtId="171" fontId="16" fillId="0" borderId="0" xfId="0" applyNumberFormat="1" applyFont="1" applyAlignment="1">
      <alignment wrapText="1"/>
    </xf>
    <xf numFmtId="0" fontId="14" fillId="13" borderId="0" xfId="0" applyFont="1" applyFill="1" applyAlignment="1">
      <alignment wrapText="1"/>
    </xf>
    <xf numFmtId="0" fontId="0" fillId="13" borderId="0" xfId="0" applyFill="1"/>
    <xf numFmtId="0" fontId="16" fillId="13" borderId="0" xfId="0" applyFont="1" applyFill="1" applyAlignment="1">
      <alignment wrapText="1"/>
    </xf>
    <xf numFmtId="0" fontId="14" fillId="14" borderId="0" xfId="0" applyFont="1" applyFill="1" applyAlignment="1">
      <alignment wrapText="1"/>
    </xf>
    <xf numFmtId="0" fontId="0" fillId="14" borderId="0" xfId="0" applyFill="1"/>
    <xf numFmtId="0" fontId="16" fillId="14" borderId="0" xfId="0" applyFont="1" applyFill="1" applyAlignment="1">
      <alignment wrapText="1"/>
    </xf>
    <xf numFmtId="0" fontId="16" fillId="15" borderId="0" xfId="0" applyFont="1" applyFill="1" applyAlignment="1">
      <alignment wrapText="1"/>
    </xf>
    <xf numFmtId="0" fontId="0" fillId="15" borderId="0" xfId="0" applyFill="1"/>
    <xf numFmtId="0" fontId="19" fillId="13" borderId="0" xfId="0" applyFont="1" applyFill="1" applyAlignment="1">
      <alignment wrapText="1"/>
    </xf>
    <xf numFmtId="0" fontId="19" fillId="14" borderId="0" xfId="0" applyFont="1" applyFill="1" applyAlignment="1">
      <alignment wrapText="1"/>
    </xf>
    <xf numFmtId="0" fontId="6" fillId="2" borderId="0" xfId="0" applyFont="1" applyFill="1" applyAlignment="1">
      <alignment horizontal="center" vertical="center"/>
    </xf>
    <xf numFmtId="0" fontId="7" fillId="6" borderId="0" xfId="0" applyFont="1" applyFill="1" applyAlignment="1">
      <alignment wrapText="1"/>
    </xf>
    <xf numFmtId="0" fontId="3" fillId="4" borderId="0" xfId="0" applyFont="1" applyFill="1"/>
    <xf numFmtId="0" fontId="3" fillId="2" borderId="0" xfId="0" applyFont="1" applyFill="1"/>
    <xf numFmtId="0" fontId="5" fillId="6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5" fillId="9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rPr lang="es-MX"/>
              <a:t>Presupuesto mensual 2025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Presupuesto mensual</c:v>
          </c:tx>
          <c:invertIfNegative val="1"/>
          <c:cat>
            <c:strRef>
              <c:f>CONSOLIDADO!$F$39:$F$50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CONSOLIDADO!$G$39:$G$50</c:f>
              <c:numCache>
                <c:formatCode>\$#,##0.00;[Red]\(\$#,##0.00\);\-</c:formatCode>
                <c:ptCount val="12"/>
                <c:pt idx="0">
                  <c:v>671159208.93391657</c:v>
                </c:pt>
                <c:pt idx="1">
                  <c:v>933230057.57569075</c:v>
                </c:pt>
                <c:pt idx="2">
                  <c:v>934368066.04095376</c:v>
                </c:pt>
                <c:pt idx="3">
                  <c:v>571035017.18714809</c:v>
                </c:pt>
                <c:pt idx="4">
                  <c:v>927682986.08783853</c:v>
                </c:pt>
                <c:pt idx="5">
                  <c:v>1043101677.1301227</c:v>
                </c:pt>
                <c:pt idx="6">
                  <c:v>595781877.51323211</c:v>
                </c:pt>
                <c:pt idx="7">
                  <c:v>907090146.3698746</c:v>
                </c:pt>
                <c:pt idx="8">
                  <c:v>1041997291.3861187</c:v>
                </c:pt>
                <c:pt idx="9">
                  <c:v>726647498.11459327</c:v>
                </c:pt>
                <c:pt idx="10">
                  <c:v>1002108788.3069189</c:v>
                </c:pt>
                <c:pt idx="11">
                  <c:v>819115376.90337873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45-408A-8E49-E06EFA1B6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;[Red]\(\$#,##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62</xdr:row>
      <xdr:rowOff>0</xdr:rowOff>
    </xdr:from>
    <xdr:to>
      <xdr:col>10</xdr:col>
      <xdr:colOff>0</xdr:colOff>
      <xdr:row>80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topLeftCell="A4" zoomScale="94" workbookViewId="0">
      <selection activeCell="C10" sqref="C10"/>
    </sheetView>
  </sheetViews>
  <sheetFormatPr baseColWidth="10" defaultColWidth="8.796875" defaultRowHeight="13.8"/>
  <cols>
    <col min="1" max="1" width="27" customWidth="1"/>
    <col min="2" max="2" width="19" customWidth="1"/>
    <col min="3" max="3" width="34" customWidth="1"/>
    <col min="4" max="4" width="15" customWidth="1"/>
    <col min="5" max="5" width="25.8984375" customWidth="1"/>
    <col min="6" max="6" width="17" customWidth="1"/>
    <col min="7" max="7" width="18" customWidth="1"/>
    <col min="8" max="8" width="30.296875" customWidth="1"/>
    <col min="9" max="9" width="18" customWidth="1"/>
    <col min="10" max="10" width="20" customWidth="1"/>
  </cols>
  <sheetData>
    <row r="1" spans="1:10" ht="13.35" customHeight="1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</row>
    <row r="2" spans="1:10" ht="14.4">
      <c r="A2" s="61" t="s">
        <v>1</v>
      </c>
      <c r="B2" s="61"/>
      <c r="C2" s="61"/>
      <c r="D2" s="61"/>
      <c r="E2" s="61"/>
      <c r="F2" s="61"/>
      <c r="G2" s="61"/>
      <c r="H2" s="61"/>
      <c r="I2" s="61"/>
      <c r="J2" s="61"/>
    </row>
    <row r="4" spans="1:10">
      <c r="A4" s="62" t="s">
        <v>2</v>
      </c>
      <c r="B4" s="62"/>
      <c r="C4" s="62"/>
      <c r="E4" s="62" t="s">
        <v>3</v>
      </c>
      <c r="F4" s="62"/>
      <c r="G4" s="62"/>
      <c r="H4" s="62"/>
      <c r="I4" s="62"/>
      <c r="J4" s="62"/>
    </row>
    <row r="5" spans="1:10">
      <c r="A5" t="s">
        <v>4</v>
      </c>
      <c r="B5" s="5">
        <v>1.0396000000000001</v>
      </c>
      <c r="C5" t="s">
        <v>5</v>
      </c>
      <c r="E5" t="s">
        <v>6</v>
      </c>
      <c r="F5" s="20">
        <f>'MESES 2025'!T17</f>
        <v>10173317991.549788</v>
      </c>
      <c r="H5" s="24"/>
      <c r="I5" s="24"/>
      <c r="J5" s="24"/>
    </row>
    <row r="6" spans="1:10">
      <c r="A6" t="s">
        <v>7</v>
      </c>
      <c r="B6" s="3">
        <v>19.36</v>
      </c>
      <c r="C6" t="s">
        <v>8</v>
      </c>
      <c r="E6" t="s">
        <v>9</v>
      </c>
      <c r="F6" s="21">
        <f>'MESES 2025'!H17</f>
        <v>2669999999.9999995</v>
      </c>
      <c r="I6" s="1"/>
    </row>
    <row r="7" spans="1:10">
      <c r="A7" t="s">
        <v>10</v>
      </c>
      <c r="B7" s="16">
        <v>0.15</v>
      </c>
      <c r="C7" t="s">
        <v>11</v>
      </c>
      <c r="E7" t="s">
        <v>12</v>
      </c>
      <c r="F7" s="22">
        <f>F5/F6</f>
        <v>3.8102314575092846</v>
      </c>
      <c r="I7" s="1"/>
    </row>
    <row r="8" spans="1:10">
      <c r="A8" t="s">
        <v>13</v>
      </c>
      <c r="B8" s="17">
        <v>7.1760695109455508E-3</v>
      </c>
      <c r="C8" t="s">
        <v>14</v>
      </c>
      <c r="E8" t="s">
        <v>15</v>
      </c>
      <c r="F8" s="23">
        <f>B6</f>
        <v>19.36</v>
      </c>
      <c r="I8" s="1"/>
    </row>
    <row r="9" spans="1:10">
      <c r="A9" t="s">
        <v>16</v>
      </c>
      <c r="B9" s="19">
        <f>B8*(1+B7)</f>
        <v>8.2524799375873828E-3</v>
      </c>
      <c r="C9" t="s">
        <v>17</v>
      </c>
    </row>
    <row r="10" spans="1:10">
      <c r="A10" t="s">
        <v>18</v>
      </c>
      <c r="B10" s="16">
        <v>0.93</v>
      </c>
      <c r="C10" t="s">
        <v>19</v>
      </c>
    </row>
    <row r="11" spans="1:10">
      <c r="A11" t="s">
        <v>20</v>
      </c>
      <c r="B11" s="18">
        <v>37953242.869755782</v>
      </c>
      <c r="C11" t="s">
        <v>21</v>
      </c>
    </row>
    <row r="12" spans="1:10">
      <c r="A12" t="s">
        <v>22</v>
      </c>
      <c r="B12" s="18">
        <v>22051465.934522498</v>
      </c>
      <c r="C12" t="s">
        <v>21</v>
      </c>
    </row>
    <row r="13" spans="1:10">
      <c r="A13" t="s">
        <v>23</v>
      </c>
      <c r="B13" s="18">
        <v>62754568.062556528</v>
      </c>
      <c r="C13" t="s">
        <v>24</v>
      </c>
    </row>
    <row r="14" spans="1:10">
      <c r="A14" t="s">
        <v>25</v>
      </c>
      <c r="B14" s="18">
        <v>3583069.5295928838</v>
      </c>
      <c r="C14" t="s">
        <v>24</v>
      </c>
    </row>
    <row r="15" spans="1:10">
      <c r="A15" t="s">
        <v>26</v>
      </c>
      <c r="B15" s="5">
        <v>1.0396000000000001</v>
      </c>
      <c r="C15" t="s">
        <v>27</v>
      </c>
    </row>
    <row r="18" spans="1:10">
      <c r="A18" s="63" t="s">
        <v>28</v>
      </c>
      <c r="B18" s="63"/>
      <c r="C18" s="63"/>
      <c r="D18" s="63"/>
      <c r="E18" s="63"/>
      <c r="F18" s="63"/>
      <c r="G18" s="63"/>
      <c r="H18" s="63"/>
      <c r="I18" s="63"/>
      <c r="J18" s="63"/>
    </row>
    <row r="20" spans="1:10">
      <c r="A20" s="64" t="s">
        <v>29</v>
      </c>
      <c r="B20" s="64"/>
      <c r="C20" s="65" t="s">
        <v>30</v>
      </c>
      <c r="D20" s="66" t="s">
        <v>31</v>
      </c>
      <c r="E20" s="66"/>
      <c r="F20" s="66"/>
      <c r="G20" s="65" t="s">
        <v>30</v>
      </c>
      <c r="H20" s="67" t="s">
        <v>32</v>
      </c>
      <c r="I20" s="67"/>
      <c r="J20" s="67"/>
    </row>
    <row r="21" spans="1:10">
      <c r="A21" s="64"/>
      <c r="B21" s="64"/>
      <c r="C21" s="65"/>
      <c r="D21" s="66"/>
      <c r="E21" s="66"/>
      <c r="F21" s="66"/>
      <c r="G21" s="65"/>
      <c r="H21" s="67"/>
      <c r="I21" s="67"/>
      <c r="J21" s="67"/>
    </row>
    <row r="22" spans="1:10">
      <c r="A22" s="64"/>
      <c r="B22" s="64"/>
      <c r="C22" s="65"/>
      <c r="D22" s="66"/>
      <c r="E22" s="66"/>
      <c r="F22" s="66"/>
      <c r="G22" s="65"/>
      <c r="H22" s="67"/>
      <c r="I22" s="67"/>
      <c r="J22" s="67"/>
    </row>
    <row r="25" spans="1:10">
      <c r="A25" s="70" t="s">
        <v>33</v>
      </c>
      <c r="B25" s="70"/>
      <c r="C25" s="70" t="s">
        <v>34</v>
      </c>
      <c r="D25" s="70"/>
      <c r="E25" s="70" t="s">
        <v>35</v>
      </c>
      <c r="F25" s="70"/>
      <c r="G25" s="70" t="s">
        <v>36</v>
      </c>
      <c r="H25" s="70"/>
      <c r="I25" s="70" t="s">
        <v>37</v>
      </c>
      <c r="J25" s="70"/>
    </row>
    <row r="26" spans="1:10">
      <c r="A26" s="70"/>
      <c r="B26" s="70"/>
      <c r="C26" s="70"/>
      <c r="D26" s="70"/>
      <c r="E26" s="70"/>
      <c r="F26" s="70"/>
      <c r="G26" s="70"/>
      <c r="H26" s="70"/>
      <c r="I26" s="70"/>
      <c r="J26" s="70"/>
    </row>
    <row r="27" spans="1:10">
      <c r="A27" s="70"/>
      <c r="B27" s="70"/>
      <c r="C27" s="70"/>
      <c r="D27" s="70"/>
      <c r="E27" s="70"/>
      <c r="F27" s="70"/>
      <c r="G27" s="70"/>
      <c r="H27" s="70"/>
      <c r="I27" s="70"/>
      <c r="J27" s="70"/>
    </row>
    <row r="29" spans="1:10">
      <c r="A29" s="68" t="s">
        <v>38</v>
      </c>
      <c r="B29" s="68"/>
      <c r="C29" s="68"/>
      <c r="D29" s="68"/>
      <c r="E29" s="68"/>
      <c r="F29" s="68"/>
      <c r="G29" s="68"/>
      <c r="H29" s="68"/>
      <c r="I29" s="68"/>
      <c r="J29" s="68"/>
    </row>
    <row r="30" spans="1:10">
      <c r="A30" s="68"/>
      <c r="B30" s="68"/>
      <c r="C30" s="68"/>
      <c r="D30" s="68"/>
      <c r="E30" s="68"/>
      <c r="F30" s="68"/>
      <c r="G30" s="68"/>
      <c r="H30" s="68"/>
      <c r="I30" s="68"/>
      <c r="J30" s="68"/>
    </row>
    <row r="32" spans="1:10">
      <c r="C32" s="69" t="s">
        <v>39</v>
      </c>
      <c r="D32" s="69"/>
      <c r="E32" s="69"/>
      <c r="F32" s="69"/>
      <c r="G32" s="69"/>
      <c r="H32" s="69"/>
    </row>
    <row r="33" spans="1:10">
      <c r="C33" s="69"/>
      <c r="D33" s="69"/>
      <c r="E33" s="69"/>
      <c r="F33" s="69"/>
      <c r="G33" s="69"/>
      <c r="H33" s="69"/>
    </row>
    <row r="34" spans="1:10">
      <c r="C34" s="69"/>
      <c r="D34" s="69"/>
      <c r="E34" s="69"/>
      <c r="F34" s="69"/>
      <c r="G34" s="69"/>
      <c r="H34" s="69"/>
    </row>
    <row r="37" spans="1:10">
      <c r="A37" s="62" t="s">
        <v>40</v>
      </c>
      <c r="B37" s="62"/>
      <c r="C37" s="62"/>
      <c r="D37" s="62"/>
      <c r="E37" s="62"/>
      <c r="F37" s="62"/>
    </row>
    <row r="38" spans="1:10">
      <c r="A38" s="4" t="s">
        <v>41</v>
      </c>
      <c r="B38" s="4" t="s">
        <v>42</v>
      </c>
      <c r="C38" s="4" t="s">
        <v>43</v>
      </c>
      <c r="D38" s="4" t="s">
        <v>44</v>
      </c>
      <c r="F38" s="4" t="s">
        <v>45</v>
      </c>
      <c r="G38" s="4" t="s">
        <v>46</v>
      </c>
      <c r="H38" s="4" t="s">
        <v>47</v>
      </c>
      <c r="I38" s="4" t="s">
        <v>48</v>
      </c>
      <c r="J38" s="4" t="s">
        <v>49</v>
      </c>
    </row>
    <row r="39" spans="1:10">
      <c r="A39" t="s">
        <v>50</v>
      </c>
      <c r="B39" s="20">
        <f>'MESES 2025'!I17</f>
        <v>57894006.473336011</v>
      </c>
      <c r="C39" t="s">
        <v>51</v>
      </c>
      <c r="D39" t="s">
        <v>52</v>
      </c>
      <c r="F39" t="s">
        <v>53</v>
      </c>
      <c r="G39" s="20">
        <f>'MESES 2025'!T5</f>
        <v>671159208.93391657</v>
      </c>
      <c r="H39" s="20">
        <f>'MESES 2025'!N5</f>
        <v>540595566.46222532</v>
      </c>
      <c r="I39" s="20">
        <f>'MESES 2025'!R5+'MESES 2025'!S5</f>
        <v>68964608.04079853</v>
      </c>
      <c r="J39" s="20">
        <f>'MESES 2025'!Q5</f>
        <v>1594325.6266144533</v>
      </c>
    </row>
    <row r="40" spans="1:10">
      <c r="A40" t="s">
        <v>54</v>
      </c>
      <c r="B40" s="20">
        <f>'MESES 2025'!J17</f>
        <v>78948646.370324031</v>
      </c>
      <c r="C40" t="s">
        <v>51</v>
      </c>
      <c r="D40" t="s">
        <v>52</v>
      </c>
      <c r="F40" t="s">
        <v>55</v>
      </c>
      <c r="G40" s="20">
        <f>'MESES 2025'!T6</f>
        <v>933230057.57569075</v>
      </c>
      <c r="H40" s="20">
        <f>'MESES 2025'!N6</f>
        <v>802128590.39689493</v>
      </c>
      <c r="I40" s="20">
        <f>'MESES 2025'!R6+'MESES 2025'!S6</f>
        <v>68964608.04079853</v>
      </c>
      <c r="J40" s="20">
        <f>'MESES 2025'!Q6</f>
        <v>2132150.3337190584</v>
      </c>
    </row>
    <row r="41" spans="1:10">
      <c r="A41" t="s">
        <v>56</v>
      </c>
      <c r="B41" s="20">
        <f>'MESES 2025'!K17</f>
        <v>954122684.03380871</v>
      </c>
      <c r="C41" t="s">
        <v>51</v>
      </c>
      <c r="D41" t="s">
        <v>52</v>
      </c>
      <c r="F41" t="s">
        <v>57</v>
      </c>
      <c r="G41" s="20">
        <f>'MESES 2025'!T7</f>
        <v>934368066.04095376</v>
      </c>
      <c r="H41" s="20">
        <f>'MESES 2025'!N7</f>
        <v>803616694.79787087</v>
      </c>
      <c r="I41" s="20">
        <f>'MESES 2025'!R7+'MESES 2025'!S7</f>
        <v>68964608.04079853</v>
      </c>
      <c r="J41" s="20">
        <f>'MESES 2025'!Q7</f>
        <v>1782054.3980060664</v>
      </c>
    </row>
    <row r="42" spans="1:10">
      <c r="A42" t="s">
        <v>58</v>
      </c>
      <c r="B42" s="20">
        <f>'MESES 2025'!L17</f>
        <v>7050159579.1054306</v>
      </c>
      <c r="C42" t="s">
        <v>51</v>
      </c>
      <c r="D42" t="s">
        <v>52</v>
      </c>
      <c r="F42" t="s">
        <v>59</v>
      </c>
      <c r="G42" s="20">
        <f>'MESES 2025'!T8</f>
        <v>571035017.18714809</v>
      </c>
      <c r="H42" s="20">
        <f>'MESES 2025'!N8</f>
        <v>440696984.41522336</v>
      </c>
      <c r="I42" s="20">
        <f>'MESES 2025'!R8+'MESES 2025'!S8</f>
        <v>68964608.04079853</v>
      </c>
      <c r="J42" s="20">
        <f>'MESES 2025'!Q8</f>
        <v>1368715.9268478255</v>
      </c>
    </row>
    <row r="43" spans="1:10">
      <c r="A43" t="s">
        <v>60</v>
      </c>
      <c r="B43" s="20">
        <f>'MESES 2025'!M17</f>
        <v>462527151.99260515</v>
      </c>
      <c r="C43" t="s">
        <v>51</v>
      </c>
      <c r="D43" t="s">
        <v>52</v>
      </c>
      <c r="F43" t="s">
        <v>61</v>
      </c>
      <c r="G43" s="20">
        <f>'MESES 2025'!T9</f>
        <v>927682986.08783853</v>
      </c>
      <c r="H43" s="20">
        <f>'MESES 2025'!N9</f>
        <v>796260202.31026947</v>
      </c>
      <c r="I43" s="20">
        <f>'MESES 2025'!R9+'MESES 2025'!S9</f>
        <v>68964608.04079853</v>
      </c>
      <c r="J43" s="20">
        <f>'MESES 2025'!Q9</f>
        <v>2453466.9324923032</v>
      </c>
    </row>
    <row r="44" spans="1:10">
      <c r="A44" t="s">
        <v>62</v>
      </c>
      <c r="B44" s="20">
        <f>'MESES 2025'!N17</f>
        <v>8603652067.9755058</v>
      </c>
      <c r="C44" t="s">
        <v>63</v>
      </c>
      <c r="D44" t="s">
        <v>64</v>
      </c>
      <c r="F44" t="s">
        <v>65</v>
      </c>
      <c r="G44" s="20">
        <f>'MESES 2025'!T10</f>
        <v>1043101677.1301227</v>
      </c>
      <c r="H44" s="20">
        <f>'MESES 2025'!N10</f>
        <v>912446012.78604639</v>
      </c>
      <c r="I44" s="20">
        <f>'MESES 2025'!R10+'MESES 2025'!S10</f>
        <v>68964608.04079853</v>
      </c>
      <c r="J44" s="20">
        <f>'MESES 2025'!Q10</f>
        <v>1686347.4989994492</v>
      </c>
    </row>
    <row r="45" spans="1:10">
      <c r="A45" t="s">
        <v>66</v>
      </c>
      <c r="B45" s="20">
        <f>'MESES 2025'!O17</f>
        <v>455438914.43706948</v>
      </c>
      <c r="C45" t="s">
        <v>67</v>
      </c>
      <c r="D45" t="s">
        <v>64</v>
      </c>
      <c r="F45" t="s">
        <v>68</v>
      </c>
      <c r="G45" s="20">
        <f>'MESES 2025'!T11</f>
        <v>595781877.51323211</v>
      </c>
      <c r="H45" s="20">
        <f>'MESES 2025'!N11</f>
        <v>465915971.67076963</v>
      </c>
      <c r="I45" s="20">
        <f>'MESES 2025'!R11+'MESES 2025'!S11</f>
        <v>68964608.04079853</v>
      </c>
      <c r="J45" s="20">
        <f>'MESES 2025'!Q11</f>
        <v>896588.9973856163</v>
      </c>
    </row>
    <row r="46" spans="1:10">
      <c r="A46" t="s">
        <v>69</v>
      </c>
      <c r="B46" s="20">
        <f>'MESES 2025'!P17</f>
        <v>264617591.21427003</v>
      </c>
      <c r="C46" t="s">
        <v>67</v>
      </c>
      <c r="D46" t="s">
        <v>64</v>
      </c>
      <c r="F46" t="s">
        <v>70</v>
      </c>
      <c r="G46" s="20">
        <f>'MESES 2025'!T12</f>
        <v>907090146.3698746</v>
      </c>
      <c r="H46" s="20">
        <f>'MESES 2025'!N12</f>
        <v>775912883.41177034</v>
      </c>
      <c r="I46" s="20">
        <f>'MESES 2025'!R12+'MESES 2025'!S12</f>
        <v>68964608.04079853</v>
      </c>
      <c r="J46" s="20">
        <f>'MESES 2025'!Q12</f>
        <v>2207946.113027405</v>
      </c>
    </row>
    <row r="47" spans="1:10">
      <c r="A47" t="s">
        <v>71</v>
      </c>
      <c r="B47" s="20">
        <f>'MESES 2025'!Q17</f>
        <v>22034121.433358308</v>
      </c>
      <c r="C47" t="s">
        <v>72</v>
      </c>
      <c r="D47" t="s">
        <v>64</v>
      </c>
      <c r="F47" t="s">
        <v>73</v>
      </c>
      <c r="G47" s="20">
        <f>'MESES 2025'!T13</f>
        <v>1041997291.3861187</v>
      </c>
      <c r="H47" s="20">
        <f>'MESES 2025'!N13</f>
        <v>910623979.29311526</v>
      </c>
      <c r="I47" s="20">
        <f>'MESES 2025'!R13+'MESES 2025'!S13</f>
        <v>68964608.04079853</v>
      </c>
      <c r="J47" s="20">
        <f>'MESES 2025'!Q13</f>
        <v>2403995.247926557</v>
      </c>
    </row>
    <row r="48" spans="1:10">
      <c r="A48" t="s">
        <v>74</v>
      </c>
      <c r="B48" s="20">
        <f>'MESES 2025'!R17</f>
        <v>782875787.49400532</v>
      </c>
      <c r="C48" t="s">
        <v>75</v>
      </c>
      <c r="D48" t="s">
        <v>64</v>
      </c>
      <c r="F48" t="s">
        <v>76</v>
      </c>
      <c r="G48" s="20">
        <f>'MESES 2025'!T14</f>
        <v>726647498.11459327</v>
      </c>
      <c r="H48" s="20">
        <f>'MESES 2025'!N14</f>
        <v>595694965.42252982</v>
      </c>
      <c r="I48" s="20">
        <f>'MESES 2025'!R14+'MESES 2025'!S14</f>
        <v>68964608.04079853</v>
      </c>
      <c r="J48" s="20">
        <f>'MESES 2025'!Q14</f>
        <v>1983215.8469866489</v>
      </c>
    </row>
    <row r="49" spans="1:10">
      <c r="A49" t="s">
        <v>77</v>
      </c>
      <c r="B49" s="20">
        <f>'MESES 2025'!S17</f>
        <v>44699508.995577149</v>
      </c>
      <c r="C49" t="s">
        <v>75</v>
      </c>
      <c r="D49" t="s">
        <v>64</v>
      </c>
      <c r="F49" t="s">
        <v>78</v>
      </c>
      <c r="G49" s="20">
        <f>'MESES 2025'!T15</f>
        <v>1002108788.3069189</v>
      </c>
      <c r="H49" s="20">
        <f>'MESES 2025'!N15</f>
        <v>870976510.54689157</v>
      </c>
      <c r="I49" s="20">
        <f>'MESES 2025'!R15+'MESES 2025'!S15</f>
        <v>68964608.04079853</v>
      </c>
      <c r="J49" s="20">
        <f>'MESES 2025'!Q15</f>
        <v>2162960.9149505282</v>
      </c>
    </row>
    <row r="50" spans="1:10">
      <c r="A50" s="2" t="s">
        <v>79</v>
      </c>
      <c r="B50" s="25">
        <f>'MESES 2025'!T17</f>
        <v>10173317991.549788</v>
      </c>
      <c r="C50" s="2" t="s">
        <v>80</v>
      </c>
      <c r="D50" s="2" t="s">
        <v>64</v>
      </c>
      <c r="F50" t="s">
        <v>81</v>
      </c>
      <c r="G50" s="20">
        <f>'MESES 2025'!T16</f>
        <v>819115376.90337873</v>
      </c>
      <c r="H50" s="20">
        <f>'MESES 2025'!N16</f>
        <v>688783706.46189952</v>
      </c>
      <c r="I50" s="20">
        <f>'MESES 2025'!R16+'MESES 2025'!S16</f>
        <v>68964608.04079853</v>
      </c>
      <c r="J50" s="20">
        <f>'MESES 2025'!Q16</f>
        <v>1362353.5964024009</v>
      </c>
    </row>
    <row r="53" spans="1:10">
      <c r="A53" s="63" t="s">
        <v>82</v>
      </c>
      <c r="B53" s="63"/>
      <c r="C53" s="63"/>
      <c r="D53" s="63"/>
      <c r="E53" s="63"/>
      <c r="F53" s="63"/>
      <c r="G53" s="63"/>
      <c r="H53" s="63"/>
      <c r="I53" s="63"/>
      <c r="J53" s="63"/>
    </row>
    <row r="54" spans="1:10">
      <c r="A54" s="26"/>
      <c r="B54" s="6"/>
      <c r="C54" s="6"/>
    </row>
    <row r="55" spans="1:10">
      <c r="A55" s="26"/>
      <c r="B55" s="6"/>
      <c r="C55" s="6"/>
    </row>
    <row r="56" spans="1:10">
      <c r="A56" s="26"/>
      <c r="B56" s="6"/>
      <c r="C56" s="6"/>
    </row>
    <row r="57" spans="1:10">
      <c r="A57" s="26"/>
      <c r="B57" s="6"/>
      <c r="C57" s="6"/>
    </row>
    <row r="58" spans="1:10">
      <c r="A58" s="26"/>
      <c r="B58" s="6"/>
      <c r="C58" s="6"/>
    </row>
    <row r="59" spans="1:10">
      <c r="A59" s="26"/>
      <c r="B59" s="6"/>
      <c r="C59" s="6"/>
    </row>
    <row r="60" spans="1:10">
      <c r="A60" s="26"/>
      <c r="B60" s="6"/>
      <c r="C60" s="6"/>
    </row>
    <row r="61" spans="1:10">
      <c r="A61" s="26"/>
      <c r="B61" s="6"/>
      <c r="C61" s="27"/>
    </row>
  </sheetData>
  <mergeCells count="19">
    <mergeCell ref="A29:J30"/>
    <mergeCell ref="C32:H34"/>
    <mergeCell ref="A37:F37"/>
    <mergeCell ref="A53:J53"/>
    <mergeCell ref="A25:B27"/>
    <mergeCell ref="C25:D27"/>
    <mergeCell ref="E25:F27"/>
    <mergeCell ref="G25:H27"/>
    <mergeCell ref="I25:J27"/>
    <mergeCell ref="A20:B22"/>
    <mergeCell ref="C20:C22"/>
    <mergeCell ref="D20:F22"/>
    <mergeCell ref="G20:G22"/>
    <mergeCell ref="H20:J22"/>
    <mergeCell ref="A1:J1"/>
    <mergeCell ref="A2:J2"/>
    <mergeCell ref="A4:C4"/>
    <mergeCell ref="E4:J4"/>
    <mergeCell ref="A18:J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5"/>
  <sheetViews>
    <sheetView topLeftCell="I1" zoomScale="81" workbookViewId="0">
      <selection activeCell="O5" sqref="O5"/>
    </sheetView>
  </sheetViews>
  <sheetFormatPr baseColWidth="10" defaultColWidth="8.796875" defaultRowHeight="13.8"/>
  <cols>
    <col min="1" max="7" width="14" customWidth="1"/>
    <col min="8" max="13" width="16" customWidth="1"/>
    <col min="14" max="14" width="19" customWidth="1"/>
    <col min="15" max="15" width="18" customWidth="1"/>
    <col min="16" max="16" width="16" customWidth="1"/>
    <col min="17" max="17" width="16.5" customWidth="1"/>
    <col min="18" max="18" width="18" customWidth="1"/>
    <col min="19" max="19" width="16" customWidth="1"/>
    <col min="20" max="20" width="20" customWidth="1"/>
  </cols>
  <sheetData>
    <row r="1" spans="1:20" ht="13.35" customHeight="1">
      <c r="A1" s="71" t="s">
        <v>85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1:20" ht="14.4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</row>
    <row r="3" spans="1:2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>
      <c r="A4" s="7" t="s">
        <v>45</v>
      </c>
      <c r="B4" s="7" t="s">
        <v>86</v>
      </c>
      <c r="C4" s="7" t="s">
        <v>87</v>
      </c>
      <c r="D4" s="7" t="s">
        <v>88</v>
      </c>
      <c r="E4" s="7" t="s">
        <v>89</v>
      </c>
      <c r="F4" s="7" t="s">
        <v>90</v>
      </c>
      <c r="G4" s="7" t="s">
        <v>91</v>
      </c>
      <c r="H4" s="7" t="s">
        <v>92</v>
      </c>
      <c r="I4" s="7" t="s">
        <v>93</v>
      </c>
      <c r="J4" s="7" t="s">
        <v>94</v>
      </c>
      <c r="K4" s="7" t="s">
        <v>95</v>
      </c>
      <c r="L4" s="7" t="s">
        <v>96</v>
      </c>
      <c r="M4" s="7" t="s">
        <v>97</v>
      </c>
      <c r="N4" s="39" t="s">
        <v>62</v>
      </c>
      <c r="O4" s="39" t="s">
        <v>66</v>
      </c>
      <c r="P4" s="39" t="s">
        <v>69</v>
      </c>
      <c r="Q4" s="39" t="s">
        <v>49</v>
      </c>
      <c r="R4" s="39" t="s">
        <v>98</v>
      </c>
      <c r="S4" s="39" t="s">
        <v>99</v>
      </c>
      <c r="T4" s="7" t="s">
        <v>100</v>
      </c>
    </row>
    <row r="5" spans="1:20">
      <c r="A5" s="6" t="s">
        <v>53</v>
      </c>
      <c r="B5" s="28">
        <f>'DEMANDA BANXICO 2025'!B5*1000000</f>
        <v>83218841.069720432</v>
      </c>
      <c r="C5" s="28">
        <f>'DEMANDA BANXICO 2025'!C5*1000000</f>
        <v>35917078.372034431</v>
      </c>
      <c r="D5" s="28">
        <f>'DEMANDA BANXICO 2025'!D5*1000000</f>
        <v>16142801.951031053</v>
      </c>
      <c r="E5" s="28">
        <f>'DEMANDA BANXICO 2025'!E5*1000000</f>
        <v>35247075.568667181</v>
      </c>
      <c r="F5" s="28">
        <f>'DEMANDA BANXICO 2025'!F5*1000000</f>
        <v>19523042.460775863</v>
      </c>
      <c r="G5" s="28">
        <f>'DEMANDA BANXICO 2025'!G5*1000000</f>
        <v>3144678.0018867529</v>
      </c>
      <c r="H5" s="29">
        <f>SUM(B5:G5)</f>
        <v>193193517.42411569</v>
      </c>
      <c r="I5" s="30">
        <f>B5*$B$25+C5*$C$25+D5*$D$25+E5*$E$25+F5*$F$25+G5*$G$25</f>
        <v>4255164.2777334936</v>
      </c>
      <c r="J5" s="30">
        <f t="shared" ref="J5:J16" si="0">B5*$B$28+C5*$C$28+D5*$D$28+E5*$E$28+F5*$F$28+G5*$G$28</f>
        <v>5273323.459596714</v>
      </c>
      <c r="K5" s="31">
        <f>SUMPRODUCT(B5:G5,'METALES 2025 BUENO'!B118:G118)</f>
        <v>68023704.662883058</v>
      </c>
      <c r="L5" s="31">
        <f>SUMPRODUCT(B5:G5,'METALES 2025 BUENO'!B48:G48)</f>
        <v>431788884.69985116</v>
      </c>
      <c r="M5" s="31">
        <f>SUMPRODUCT(B5:G5,'METALES 2025 BUENO'!B90:G90)</f>
        <v>31254489.362160921</v>
      </c>
      <c r="N5" s="30">
        <f>SUM(I5:M5)</f>
        <v>540595566.46222532</v>
      </c>
      <c r="O5" s="31">
        <f>CONSOLIDADO!$B$11</f>
        <v>37953242.869755782</v>
      </c>
      <c r="P5" s="31">
        <f>CONSOLIDADO!$B$12</f>
        <v>22051465.934522498</v>
      </c>
      <c r="Q5" s="31">
        <f>H5*CONSOLIDADO!$B$9</f>
        <v>1594325.6266144533</v>
      </c>
      <c r="R5" s="31">
        <f>CONSOLIDADO!$B$13*CONSOLIDADO!$B$15</f>
        <v>65239648.957833774</v>
      </c>
      <c r="S5" s="31">
        <f>CONSOLIDADO!$B$14*CONSOLIDADO!$B$15</f>
        <v>3724959.0829647621</v>
      </c>
      <c r="T5" s="30">
        <f>N5+O5+P5+Q5+R5+S5</f>
        <v>671159208.93391657</v>
      </c>
    </row>
    <row r="6" spans="1:20">
      <c r="A6" s="6" t="s">
        <v>55</v>
      </c>
      <c r="B6" s="28">
        <f>'DEMANDA BANXICO 2025'!B6*1000000</f>
        <v>77781158.930279553</v>
      </c>
      <c r="C6" s="28">
        <f>'DEMANDA BANXICO 2025'!C6*1000000</f>
        <v>81504139.382693529</v>
      </c>
      <c r="D6" s="28">
        <f>'DEMANDA BANXICO 2025'!D6*1000000</f>
        <v>32135871.927367553</v>
      </c>
      <c r="E6" s="28">
        <f>'DEMANDA BANXICO 2025'!E6*1000000</f>
        <v>32669917.947379857</v>
      </c>
      <c r="F6" s="28">
        <f>'DEMANDA BANXICO 2025'!F6*1000000</f>
        <v>29540100.896147769</v>
      </c>
      <c r="G6" s="28">
        <f>'DEMANDA BANXICO 2025'!G6*1000000</f>
        <v>4733611.5390089331</v>
      </c>
      <c r="H6" s="29">
        <f t="shared" ref="H6:H16" si="1">SUM(B6:G6)</f>
        <v>258364800.62287721</v>
      </c>
      <c r="I6" s="30">
        <f>B6*$B$25+C6*$C$25+D6*$D$25+E6*$E$25+F6*$F$25+G6*$G$25</f>
        <v>5743868.7420891197</v>
      </c>
      <c r="J6" s="30">
        <f t="shared" si="0"/>
        <v>7561735.8666470349</v>
      </c>
      <c r="K6" s="31">
        <f>SUMPRODUCT(B6:G6,'METALES 2025 BUENO'!B119:G119)</f>
        <v>88350749.12629655</v>
      </c>
      <c r="L6" s="31">
        <f>SUMPRODUCT(B6:G6,'METALES 2025 BUENO'!B49:G49)</f>
        <v>653177427.07431746</v>
      </c>
      <c r="M6" s="31">
        <f>SUMPRODUCT(B6:G6,'METALES 2025 BUENO'!B91:G91)</f>
        <v>47294809.587544739</v>
      </c>
      <c r="N6" s="30">
        <f t="shared" ref="N6:N16" si="2">SUM(I6:M6)</f>
        <v>802128590.39689493</v>
      </c>
      <c r="O6" s="31">
        <f>CONSOLIDADO!$B$11</f>
        <v>37953242.869755782</v>
      </c>
      <c r="P6" s="31">
        <f>CONSOLIDADO!$B$12</f>
        <v>22051465.934522498</v>
      </c>
      <c r="Q6" s="31">
        <f>H6*CONSOLIDADO!$B$9</f>
        <v>2132150.3337190584</v>
      </c>
      <c r="R6" s="31">
        <f>CONSOLIDADO!$B$13*CONSOLIDADO!$B$15</f>
        <v>65239648.957833774</v>
      </c>
      <c r="S6" s="31">
        <f>CONSOLIDADO!$B$14*CONSOLIDADO!$B$15</f>
        <v>3724959.0829647621</v>
      </c>
      <c r="T6" s="30">
        <f t="shared" ref="T6:T16" si="3">N6+O6+P6+Q6+R6+S6</f>
        <v>933230057.57569075</v>
      </c>
    </row>
    <row r="7" spans="1:20">
      <c r="A7" s="6" t="s">
        <v>57</v>
      </c>
      <c r="B7" s="28">
        <f>'DEMANDA BANXICO 2025'!B7*1000000</f>
        <v>0</v>
      </c>
      <c r="C7" s="28">
        <f>'DEMANDA BANXICO 2025'!C7*1000000</f>
        <v>96328782.245272055</v>
      </c>
      <c r="D7" s="28">
        <f>'DEMANDA BANXICO 2025'!D7*1000000</f>
        <v>68721326.121601373</v>
      </c>
      <c r="E7" s="28">
        <f>'DEMANDA BANXICO 2025'!E7*1000000</f>
        <v>24333006.483952969</v>
      </c>
      <c r="F7" s="28">
        <f>'DEMANDA BANXICO 2025'!F7*1000000</f>
        <v>24436856.643076371</v>
      </c>
      <c r="G7" s="28">
        <f>'DEMANDA BANXICO 2025'!G7*1000000</f>
        <v>2121710.4591043154</v>
      </c>
      <c r="H7" s="29">
        <f t="shared" si="1"/>
        <v>215941681.9530071</v>
      </c>
      <c r="I7" s="30">
        <f t="shared" ref="I7:I16" si="4">B7*$B$25+C7*$C$25+D7*$D$25+E7*$E$25+F7*$F$25+G7*$G$25</f>
        <v>4474468.5985113913</v>
      </c>
      <c r="J7" s="30">
        <f t="shared" si="0"/>
        <v>6902102.2663372569</v>
      </c>
      <c r="K7" s="31">
        <f>SUMPRODUCT(B7:G7,'METALES 2025 BUENO'!B120:G120)</f>
        <v>82156217.219272569</v>
      </c>
      <c r="L7" s="31">
        <f>SUMPRODUCT(B7:G7,'METALES 2025 BUENO'!B50:G50)</f>
        <v>673722489.30079079</v>
      </c>
      <c r="M7" s="31">
        <f>SUMPRODUCT(B7:G7,'METALES 2025 BUENO'!B92:G92)</f>
        <v>36361417.412958898</v>
      </c>
      <c r="N7" s="30">
        <f t="shared" si="2"/>
        <v>803616694.79787087</v>
      </c>
      <c r="O7" s="31">
        <f>CONSOLIDADO!$B$11</f>
        <v>37953242.869755782</v>
      </c>
      <c r="P7" s="31">
        <f>CONSOLIDADO!$B$12</f>
        <v>22051465.934522498</v>
      </c>
      <c r="Q7" s="31">
        <f>H7*CONSOLIDADO!$B$9</f>
        <v>1782054.3980060664</v>
      </c>
      <c r="R7" s="31">
        <f>CONSOLIDADO!$B$13*CONSOLIDADO!$B$15</f>
        <v>65239648.957833774</v>
      </c>
      <c r="S7" s="31">
        <f>CONSOLIDADO!$B$14*CONSOLIDADO!$B$15</f>
        <v>3724959.0829647621</v>
      </c>
      <c r="T7" s="30">
        <f t="shared" si="3"/>
        <v>934368066.04095376</v>
      </c>
    </row>
    <row r="8" spans="1:20">
      <c r="A8" s="6" t="s">
        <v>59</v>
      </c>
      <c r="B8" s="28">
        <f>'DEMANDA BANXICO 2025'!B8*1000000</f>
        <v>63699295.128500968</v>
      </c>
      <c r="C8" s="28">
        <f>'DEMANDA BANXICO 2025'!C8*1000000</f>
        <v>37436387.376123391</v>
      </c>
      <c r="D8" s="28">
        <f>'DEMANDA BANXICO 2025'!D8*1000000</f>
        <v>24554395.196265329</v>
      </c>
      <c r="E8" s="28">
        <f>'DEMANDA BANXICO 2025'!E8*1000000</f>
        <v>24956358.216712426</v>
      </c>
      <c r="F8" s="28">
        <f>'DEMANDA BANXICO 2025'!F8*1000000</f>
        <v>14129290.483741304</v>
      </c>
      <c r="G8" s="28">
        <f>'DEMANDA BANXICO 2025'!G8*1000000</f>
        <v>1079378.6336613973</v>
      </c>
      <c r="H8" s="29">
        <f t="shared" si="1"/>
        <v>165855105.03500482</v>
      </c>
      <c r="I8" s="30">
        <f t="shared" si="4"/>
        <v>3403528.3120919801</v>
      </c>
      <c r="J8" s="30">
        <f t="shared" si="0"/>
        <v>4116527.9290764565</v>
      </c>
      <c r="K8" s="31">
        <f>SUMPRODUCT(B8:G8,'METALES 2025 BUENO'!B121:G121)</f>
        <v>60013582.844854891</v>
      </c>
      <c r="L8" s="31">
        <f>SUMPRODUCT(B8:G8,'METALES 2025 BUENO'!B51:G51)</f>
        <v>352341800.24807489</v>
      </c>
      <c r="M8" s="31">
        <f>SUMPRODUCT(B8:G8,'METALES 2025 BUENO'!B93:G93)</f>
        <v>20821545.081125114</v>
      </c>
      <c r="N8" s="30">
        <f t="shared" si="2"/>
        <v>440696984.41522336</v>
      </c>
      <c r="O8" s="31">
        <f>CONSOLIDADO!$B$11</f>
        <v>37953242.869755782</v>
      </c>
      <c r="P8" s="31">
        <f>CONSOLIDADO!$B$12</f>
        <v>22051465.934522498</v>
      </c>
      <c r="Q8" s="31">
        <f>H8*CONSOLIDADO!$B$9</f>
        <v>1368715.9268478255</v>
      </c>
      <c r="R8" s="31">
        <f>CONSOLIDADO!$B$13*CONSOLIDADO!$B$15</f>
        <v>65239648.957833774</v>
      </c>
      <c r="S8" s="31">
        <f>CONSOLIDADO!$B$14*CONSOLIDADO!$B$15</f>
        <v>3724959.0829647621</v>
      </c>
      <c r="T8" s="30">
        <f t="shared" si="3"/>
        <v>571035017.18714809</v>
      </c>
    </row>
    <row r="9" spans="1:20">
      <c r="A9" s="6" t="s">
        <v>61</v>
      </c>
      <c r="B9" s="28">
        <f>'DEMANDA BANXICO 2025'!B9*1000000</f>
        <v>97270545.263792023</v>
      </c>
      <c r="C9" s="28">
        <f>'DEMANDA BANXICO 2025'!C9*1000000</f>
        <v>80807811.775290728</v>
      </c>
      <c r="D9" s="28">
        <f>'DEMANDA BANXICO 2025'!D9*1000000</f>
        <v>64673372.016764648</v>
      </c>
      <c r="E9" s="28">
        <f>'DEMANDA BANXICO 2025'!E9*1000000</f>
        <v>30108668.040386062</v>
      </c>
      <c r="F9" s="28">
        <f>'DEMANDA BANXICO 2025'!F9*1000000</f>
        <v>20662340.795175746</v>
      </c>
      <c r="G9" s="28">
        <f>'DEMANDA BANXICO 2025'!G9*1000000</f>
        <v>3777825.2178148916</v>
      </c>
      <c r="H9" s="29">
        <f t="shared" si="1"/>
        <v>297300563.10922408</v>
      </c>
      <c r="I9" s="30">
        <f t="shared" si="4"/>
        <v>6364707.8646071656</v>
      </c>
      <c r="J9" s="30">
        <f t="shared" si="0"/>
        <v>7592251.7977045309</v>
      </c>
      <c r="K9" s="31">
        <f>SUMPRODUCT(B9:G9,'METALES 2025 BUENO'!B122:G122)</f>
        <v>107604909.06188977</v>
      </c>
      <c r="L9" s="31">
        <f>SUMPRODUCT(B9:G9,'METALES 2025 BUENO'!B52:G52)</f>
        <v>640748524.35619795</v>
      </c>
      <c r="M9" s="31">
        <f>SUMPRODUCT(B9:G9,'METALES 2025 BUENO'!B94:G94)</f>
        <v>33949809.229870066</v>
      </c>
      <c r="N9" s="30">
        <f t="shared" si="2"/>
        <v>796260202.31026947</v>
      </c>
      <c r="O9" s="31">
        <f>CONSOLIDADO!$B$11</f>
        <v>37953242.869755782</v>
      </c>
      <c r="P9" s="31">
        <f>CONSOLIDADO!$B$12</f>
        <v>22051465.934522498</v>
      </c>
      <c r="Q9" s="31">
        <f>H9*CONSOLIDADO!$B$9</f>
        <v>2453466.9324923032</v>
      </c>
      <c r="R9" s="31">
        <f>CONSOLIDADO!$B$13*CONSOLIDADO!$B$15</f>
        <v>65239648.957833774</v>
      </c>
      <c r="S9" s="31">
        <f>CONSOLIDADO!$B$14*CONSOLIDADO!$B$15</f>
        <v>3724959.0829647621</v>
      </c>
      <c r="T9" s="30">
        <f t="shared" si="3"/>
        <v>927682986.08783853</v>
      </c>
    </row>
    <row r="10" spans="1:20">
      <c r="A10" s="6" t="s">
        <v>65</v>
      </c>
      <c r="B10" s="28">
        <f>'DEMANDA BANXICO 2025'!B10*1000000</f>
        <v>30159.607707012328</v>
      </c>
      <c r="C10" s="28">
        <f>'DEMANDA BANXICO 2025'!C10*1000000</f>
        <v>95505800.848585874</v>
      </c>
      <c r="D10" s="28">
        <f>'DEMANDA BANXICO 2025'!D10*1000000</f>
        <v>27772232.786970023</v>
      </c>
      <c r="E10" s="28">
        <f>'DEMANDA BANXICO 2025'!E10*1000000</f>
        <v>37184973.742901511</v>
      </c>
      <c r="F10" s="28">
        <f>'DEMANDA BANXICO 2025'!F10*1000000</f>
        <v>38708368.721082948</v>
      </c>
      <c r="G10" s="28">
        <f>'DEMANDA BANXICO 2025'!G10*1000000</f>
        <v>5142796.1485237116</v>
      </c>
      <c r="H10" s="29">
        <f t="shared" si="1"/>
        <v>204344331.85577109</v>
      </c>
      <c r="I10" s="30">
        <f t="shared" si="4"/>
        <v>4705265.4416348571</v>
      </c>
      <c r="J10" s="30">
        <f t="shared" si="0"/>
        <v>8028381.8658000184</v>
      </c>
      <c r="K10" s="31">
        <f>SUMPRODUCT(B10:G10,'METALES 2025 BUENO'!B123:G123)</f>
        <v>70912179.101707488</v>
      </c>
      <c r="L10" s="31">
        <f>SUMPRODUCT(B10:G10,'METALES 2025 BUENO'!B53:G53)</f>
        <v>768156736.53933609</v>
      </c>
      <c r="M10" s="31">
        <f>SUMPRODUCT(B10:G10,'METALES 2025 BUENO'!B95:G95)</f>
        <v>60643449.837567933</v>
      </c>
      <c r="N10" s="30">
        <f t="shared" si="2"/>
        <v>912446012.78604639</v>
      </c>
      <c r="O10" s="31">
        <f>CONSOLIDADO!$B$11</f>
        <v>37953242.869755782</v>
      </c>
      <c r="P10" s="31">
        <f>CONSOLIDADO!$B$12</f>
        <v>22051465.934522498</v>
      </c>
      <c r="Q10" s="31">
        <f>H10*CONSOLIDADO!$B$9</f>
        <v>1686347.4989994492</v>
      </c>
      <c r="R10" s="31">
        <f>CONSOLIDADO!$B$13*CONSOLIDADO!$B$15</f>
        <v>65239648.957833774</v>
      </c>
      <c r="S10" s="31">
        <f>CONSOLIDADO!$B$14*CONSOLIDADO!$B$15</f>
        <v>3724959.0829647621</v>
      </c>
      <c r="T10" s="30">
        <f t="shared" si="3"/>
        <v>1043101677.1301227</v>
      </c>
    </row>
    <row r="11" spans="1:20" ht="12.3" customHeight="1">
      <c r="A11" s="6" t="s">
        <v>68</v>
      </c>
      <c r="B11" s="28">
        <f>'DEMANDA BANXICO 2025'!B11*1000000</f>
        <v>27068003.614987809</v>
      </c>
      <c r="C11" s="28">
        <f>'DEMANDA BANXICO 2025'!C11*1000000</f>
        <v>31622993.254262555</v>
      </c>
      <c r="D11" s="28">
        <f>'DEMANDA BANXICO 2025'!D11*1000000</f>
        <v>17842520.014171381</v>
      </c>
      <c r="E11" s="28">
        <f>'DEMANDA BANXICO 2025'!E11*1000000</f>
        <v>38325.701032204051</v>
      </c>
      <c r="F11" s="28">
        <f>'DEMANDA BANXICO 2025'!F11*1000000</f>
        <v>28709850.575407997</v>
      </c>
      <c r="G11" s="28">
        <f>'DEMANDA BANXICO 2025'!G11*1000000</f>
        <v>3363102.6065527904</v>
      </c>
      <c r="H11" s="29">
        <f t="shared" si="1"/>
        <v>108644795.76641475</v>
      </c>
      <c r="I11" s="30">
        <f t="shared" si="4"/>
        <v>2617208.6006110706</v>
      </c>
      <c r="J11" s="30">
        <f t="shared" si="0"/>
        <v>4197086.4720157189</v>
      </c>
      <c r="K11" s="31">
        <f>SUMPRODUCT(B11:G11,'METALES 2025 BUENO'!B124:G124)</f>
        <v>27687239.131853994</v>
      </c>
      <c r="L11" s="31">
        <f>SUMPRODUCT(B11:G11,'METALES 2025 BUENO'!B54:G54)</f>
        <v>387084311.81109184</v>
      </c>
      <c r="M11" s="31">
        <f>SUMPRODUCT(B11:G11,'METALES 2025 BUENO'!B96:G96)</f>
        <v>44330125.655197047</v>
      </c>
      <c r="N11" s="30">
        <f t="shared" si="2"/>
        <v>465915971.67076963</v>
      </c>
      <c r="O11" s="31">
        <f>CONSOLIDADO!$B$11</f>
        <v>37953242.869755782</v>
      </c>
      <c r="P11" s="31">
        <f>CONSOLIDADO!$B$12</f>
        <v>22051465.934522498</v>
      </c>
      <c r="Q11" s="31">
        <f>H11*CONSOLIDADO!$B$9</f>
        <v>896588.9973856163</v>
      </c>
      <c r="R11" s="31">
        <f>CONSOLIDADO!$B$13*CONSOLIDADO!$B$15</f>
        <v>65239648.957833774</v>
      </c>
      <c r="S11" s="31">
        <f>CONSOLIDADO!$B$14*CONSOLIDADO!$B$15</f>
        <v>3724959.0829647621</v>
      </c>
      <c r="T11" s="30">
        <f t="shared" si="3"/>
        <v>595781877.51323211</v>
      </c>
    </row>
    <row r="12" spans="1:20">
      <c r="A12" s="6" t="s">
        <v>70</v>
      </c>
      <c r="B12" s="28">
        <f>'DEMANDA BANXICO 2025'!B12*1000000</f>
        <v>77588191.00924845</v>
      </c>
      <c r="C12" s="28">
        <f>'DEMANDA BANXICO 2025'!C12*1000000</f>
        <v>72601881.960145921</v>
      </c>
      <c r="D12" s="28">
        <f>'DEMANDA BANXICO 2025'!D12*1000000</f>
        <v>45764990.762690142</v>
      </c>
      <c r="E12" s="28">
        <f>'DEMANDA BANXICO 2025'!E12*1000000</f>
        <v>49007603.123926938</v>
      </c>
      <c r="F12" s="28">
        <f>'DEMANDA BANXICO 2025'!F12*1000000</f>
        <v>18404679.581741441</v>
      </c>
      <c r="G12" s="28">
        <f>'DEMANDA BANXICO 2025'!G12*1000000</f>
        <v>4182060.4951767903</v>
      </c>
      <c r="H12" s="29">
        <f t="shared" si="1"/>
        <v>267549406.93292969</v>
      </c>
      <c r="I12" s="30">
        <f t="shared" si="4"/>
        <v>5837592.6627450939</v>
      </c>
      <c r="J12" s="30">
        <f t="shared" si="0"/>
        <v>7398985.7059409115</v>
      </c>
      <c r="K12" s="31">
        <f>SUMPRODUCT(B12:G12,'METALES 2025 BUENO'!B125:G125)</f>
        <v>102167486.85371333</v>
      </c>
      <c r="L12" s="31">
        <f>SUMPRODUCT(B12:G12,'METALES 2025 BUENO'!B55:G55)</f>
        <v>628851693.54153585</v>
      </c>
      <c r="M12" s="31">
        <f>SUMPRODUCT(B12:G12,'METALES 2025 BUENO'!B97:G97)</f>
        <v>31657124.647835173</v>
      </c>
      <c r="N12" s="30">
        <f t="shared" si="2"/>
        <v>775912883.41177034</v>
      </c>
      <c r="O12" s="31">
        <f>CONSOLIDADO!$B$11</f>
        <v>37953242.869755782</v>
      </c>
      <c r="P12" s="31">
        <f>CONSOLIDADO!$B$12</f>
        <v>22051465.934522498</v>
      </c>
      <c r="Q12" s="31">
        <f>H12*CONSOLIDADO!$B$9</f>
        <v>2207946.113027405</v>
      </c>
      <c r="R12" s="31">
        <f>CONSOLIDADO!$B$13*CONSOLIDADO!$B$15</f>
        <v>65239648.957833774</v>
      </c>
      <c r="S12" s="31">
        <f>CONSOLIDADO!$B$14*CONSOLIDADO!$B$15</f>
        <v>3724959.0829647621</v>
      </c>
      <c r="T12" s="30">
        <f t="shared" si="3"/>
        <v>907090146.3698746</v>
      </c>
    </row>
    <row r="13" spans="1:20">
      <c r="A13" s="6" t="s">
        <v>73</v>
      </c>
      <c r="B13" s="28">
        <f>'DEMANDA BANXICO 2025'!B13*1000000</f>
        <v>56343805.375763766</v>
      </c>
      <c r="C13" s="28">
        <f>'DEMANDA BANXICO 2025'!C13*1000000</f>
        <v>109525124.78559153</v>
      </c>
      <c r="D13" s="28">
        <f>'DEMANDA BANXICO 2025'!D13*1000000</f>
        <v>53392489.223138489</v>
      </c>
      <c r="E13" s="28">
        <f>'DEMANDA BANXICO 2025'!E13*1000000</f>
        <v>43204071.175040856</v>
      </c>
      <c r="F13" s="28">
        <f>'DEMANDA BANXICO 2025'!F13*1000000</f>
        <v>26385469.842850566</v>
      </c>
      <c r="G13" s="28">
        <f>'DEMANDA BANXICO 2025'!G13*1000000</f>
        <v>2454836.8982704193</v>
      </c>
      <c r="H13" s="29">
        <f t="shared" si="1"/>
        <v>291305797.3006556</v>
      </c>
      <c r="I13" s="30">
        <f t="shared" si="4"/>
        <v>6018700.3549778406</v>
      </c>
      <c r="J13" s="30">
        <f t="shared" si="0"/>
        <v>8141089.4146243753</v>
      </c>
      <c r="K13" s="31">
        <f>SUMPRODUCT(B13:G13,'METALES 2025 BUENO'!B126:G126)</f>
        <v>108675945.02288488</v>
      </c>
      <c r="L13" s="31">
        <f>SUMPRODUCT(B13:G13,'METALES 2025 BUENO'!B56:G56)</f>
        <v>747939259.59536588</v>
      </c>
      <c r="M13" s="31">
        <f>SUMPRODUCT(B13:G13,'METALES 2025 BUENO'!B98:G98)</f>
        <v>39848984.905262329</v>
      </c>
      <c r="N13" s="30">
        <f t="shared" si="2"/>
        <v>910623979.29311526</v>
      </c>
      <c r="O13" s="31">
        <f>CONSOLIDADO!$B$11</f>
        <v>37953242.869755782</v>
      </c>
      <c r="P13" s="31">
        <f>CONSOLIDADO!$B$12</f>
        <v>22051465.934522498</v>
      </c>
      <c r="Q13" s="31">
        <f>H13*CONSOLIDADO!$B$9</f>
        <v>2403995.247926557</v>
      </c>
      <c r="R13" s="31">
        <f>CONSOLIDADO!$B$13*CONSOLIDADO!$B$15</f>
        <v>65239648.957833774</v>
      </c>
      <c r="S13" s="31">
        <f>CONSOLIDADO!$B$14*CONSOLIDADO!$B$15</f>
        <v>3724959.0829647621</v>
      </c>
      <c r="T13" s="30">
        <f t="shared" si="3"/>
        <v>1041997291.3861187</v>
      </c>
    </row>
    <row r="14" spans="1:20">
      <c r="A14" s="6" t="s">
        <v>76</v>
      </c>
      <c r="B14" s="28">
        <f>'DEMANDA BANXICO 2025'!B14*1000000</f>
        <v>77008492.240843952</v>
      </c>
      <c r="C14" s="28">
        <f>'DEMANDA BANXICO 2025'!C14*1000000</f>
        <v>76669291.073090881</v>
      </c>
      <c r="D14" s="28">
        <f>'DEMANDA BANXICO 2025'!D14*1000000</f>
        <v>43991204.785807729</v>
      </c>
      <c r="E14" s="28">
        <f>'DEMANDA BANXICO 2025'!E14*1000000</f>
        <v>30082786.05128656</v>
      </c>
      <c r="F14" s="28">
        <f>'DEMANDA BANXICO 2025'!F14*1000000</f>
        <v>10230046.515395176</v>
      </c>
      <c r="G14" s="28">
        <f>'DEMANDA BANXICO 2025'!G14*1000000</f>
        <v>2335739.8711955398</v>
      </c>
      <c r="H14" s="29">
        <f t="shared" si="1"/>
        <v>240317560.53761983</v>
      </c>
      <c r="I14" s="30">
        <f t="shared" si="4"/>
        <v>5035649.5077826818</v>
      </c>
      <c r="J14" s="30">
        <f t="shared" si="0"/>
        <v>5707337.4862274313</v>
      </c>
      <c r="K14" s="31">
        <f>SUMPRODUCT(B14:G14,'METALES 2025 BUENO'!B127:G127)</f>
        <v>90322381.298962206</v>
      </c>
      <c r="L14" s="31">
        <f>SUMPRODUCT(B14:G14,'METALES 2025 BUENO'!B57:G57)</f>
        <v>476966643.91231096</v>
      </c>
      <c r="M14" s="31">
        <f>SUMPRODUCT(B14:G14,'METALES 2025 BUENO'!B99:G99)</f>
        <v>17662953.21724651</v>
      </c>
      <c r="N14" s="30">
        <f t="shared" si="2"/>
        <v>595694965.42252982</v>
      </c>
      <c r="O14" s="31">
        <f>CONSOLIDADO!$B$11</f>
        <v>37953242.869755782</v>
      </c>
      <c r="P14" s="31">
        <f>CONSOLIDADO!$B$12</f>
        <v>22051465.934522498</v>
      </c>
      <c r="Q14" s="31">
        <f>H14*CONSOLIDADO!$B$9</f>
        <v>1983215.8469866489</v>
      </c>
      <c r="R14" s="31">
        <f>CONSOLIDADO!$B$13*CONSOLIDADO!$B$15</f>
        <v>65239648.957833774</v>
      </c>
      <c r="S14" s="31">
        <f>CONSOLIDADO!$B$14*CONSOLIDADO!$B$15</f>
        <v>3724959.0829647621</v>
      </c>
      <c r="T14" s="30">
        <f t="shared" si="3"/>
        <v>726647498.11459327</v>
      </c>
    </row>
    <row r="15" spans="1:20">
      <c r="A15" s="6" t="s">
        <v>78</v>
      </c>
      <c r="B15" s="28">
        <f>'DEMANDA BANXICO 2025'!B15*1000000</f>
        <v>63643382.017226413</v>
      </c>
      <c r="C15" s="28">
        <f>'DEMANDA BANXICO 2025'!C15*1000000</f>
        <v>84026445.266973332</v>
      </c>
      <c r="D15" s="28">
        <f>'DEMANDA BANXICO 2025'!D15*1000000</f>
        <v>46560034.262351245</v>
      </c>
      <c r="E15" s="28">
        <f>'DEMANDA BANXICO 2025'!E15*1000000</f>
        <v>29879523.983372461</v>
      </c>
      <c r="F15" s="28">
        <f>'DEMANDA BANXICO 2025'!F15*1000000</f>
        <v>34980159.052641571</v>
      </c>
      <c r="G15" s="28">
        <f>'DEMANDA BANXICO 2025'!G15*1000000</f>
        <v>3008749.6645908649</v>
      </c>
      <c r="H15" s="29">
        <f t="shared" si="1"/>
        <v>262098294.24715587</v>
      </c>
      <c r="I15" s="30">
        <f t="shared" si="4"/>
        <v>5545533.8058379274</v>
      </c>
      <c r="J15" s="30">
        <f t="shared" si="0"/>
        <v>7777018.5536680669</v>
      </c>
      <c r="K15" s="31">
        <f>SUMPRODUCT(B15:G15,'METALES 2025 BUENO'!B128:G128)</f>
        <v>90000651.107514471</v>
      </c>
      <c r="L15" s="31">
        <f>SUMPRODUCT(B15:G15,'METALES 2025 BUENO'!B58:G58)</f>
        <v>715066932.49224699</v>
      </c>
      <c r="M15" s="31">
        <f>SUMPRODUCT(B15:G15,'METALES 2025 BUENO'!B100:G100)</f>
        <v>52586374.587624073</v>
      </c>
      <c r="N15" s="30">
        <f t="shared" si="2"/>
        <v>870976510.54689157</v>
      </c>
      <c r="O15" s="31">
        <f>CONSOLIDADO!$B$11</f>
        <v>37953242.869755782</v>
      </c>
      <c r="P15" s="31">
        <f>CONSOLIDADO!$B$12</f>
        <v>22051465.934522498</v>
      </c>
      <c r="Q15" s="31">
        <f>H15*CONSOLIDADO!$B$9</f>
        <v>2162960.9149505282</v>
      </c>
      <c r="R15" s="31">
        <f>CONSOLIDADO!$B$13*CONSOLIDADO!$B$15</f>
        <v>65239648.957833774</v>
      </c>
      <c r="S15" s="31">
        <f>CONSOLIDADO!$B$14*CONSOLIDADO!$B$15</f>
        <v>3724959.0829647621</v>
      </c>
      <c r="T15" s="30">
        <f t="shared" si="3"/>
        <v>1002108788.3069189</v>
      </c>
    </row>
    <row r="16" spans="1:20">
      <c r="A16" s="6" t="s">
        <v>81</v>
      </c>
      <c r="B16" s="28">
        <f>'DEMANDA BANXICO 2025'!B16*1000000</f>
        <v>20348125.74192965</v>
      </c>
      <c r="C16" s="28">
        <f>'DEMANDA BANXICO 2025'!C16*1000000</f>
        <v>53054263.659935802</v>
      </c>
      <c r="D16" s="28">
        <f>'DEMANDA BANXICO 2025'!D16*1000000</f>
        <v>26448760.951841023</v>
      </c>
      <c r="E16" s="28">
        <f>'DEMANDA BANXICO 2025'!E16*1000000</f>
        <v>32287689.965340968</v>
      </c>
      <c r="F16" s="28">
        <f>'DEMANDA BANXICO 2025'!F16*1000000</f>
        <v>28289794.43196325</v>
      </c>
      <c r="G16" s="28">
        <f>'DEMANDA BANXICO 2025'!G16*1000000</f>
        <v>4655510.4642135948</v>
      </c>
      <c r="H16" s="29">
        <f t="shared" si="1"/>
        <v>165084145.21522433</v>
      </c>
      <c r="I16" s="30">
        <f t="shared" si="4"/>
        <v>3892318.3047133945</v>
      </c>
      <c r="J16" s="30">
        <f t="shared" si="0"/>
        <v>6252805.5526855085</v>
      </c>
      <c r="K16" s="31">
        <f>SUMPRODUCT(B16:G16,'METALES 2025 BUENO'!B129:G129)</f>
        <v>58207638.601975478</v>
      </c>
      <c r="L16" s="31">
        <f>SUMPRODUCT(B16:G16,'METALES 2025 BUENO'!B59:G59)</f>
        <v>574314875.53431273</v>
      </c>
      <c r="M16" s="31">
        <f>SUMPRODUCT(B16:G16,'METALES 2025 BUENO'!B101:G101)</f>
        <v>46116068.468212306</v>
      </c>
      <c r="N16" s="30">
        <f t="shared" si="2"/>
        <v>688783706.46189952</v>
      </c>
      <c r="O16" s="31">
        <f>CONSOLIDADO!$B$11</f>
        <v>37953242.869755782</v>
      </c>
      <c r="P16" s="31">
        <f>CONSOLIDADO!$B$12</f>
        <v>22051465.934522498</v>
      </c>
      <c r="Q16" s="31">
        <f>H16*CONSOLIDADO!$B$9</f>
        <v>1362353.5964024009</v>
      </c>
      <c r="R16" s="31">
        <f>CONSOLIDADO!$B$13*CONSOLIDADO!$B$15</f>
        <v>65239648.957833774</v>
      </c>
      <c r="S16" s="31">
        <f>CONSOLIDADO!$B$14*CONSOLIDADO!$B$15</f>
        <v>3724959.0829647621</v>
      </c>
      <c r="T16" s="30">
        <f t="shared" si="3"/>
        <v>819115376.90337873</v>
      </c>
    </row>
    <row r="17" spans="1:20">
      <c r="A17" s="9" t="s">
        <v>101</v>
      </c>
      <c r="B17" s="32">
        <f t="shared" ref="B17:T17" si="5">SUM(B5:B16)</f>
        <v>644000000.00000012</v>
      </c>
      <c r="C17" s="32">
        <f t="shared" si="5"/>
        <v>855000000.00000012</v>
      </c>
      <c r="D17" s="32">
        <f t="shared" si="5"/>
        <v>468000000</v>
      </c>
      <c r="E17" s="32">
        <f t="shared" si="5"/>
        <v>369000000</v>
      </c>
      <c r="F17" s="32">
        <f t="shared" si="5"/>
        <v>294000000</v>
      </c>
      <c r="G17" s="32">
        <f t="shared" si="5"/>
        <v>40000000</v>
      </c>
      <c r="H17" s="32">
        <f t="shared" si="5"/>
        <v>2669999999.9999995</v>
      </c>
      <c r="I17" s="33">
        <f t="shared" si="5"/>
        <v>57894006.473336011</v>
      </c>
      <c r="J17" s="33">
        <f t="shared" si="5"/>
        <v>78948646.370324031</v>
      </c>
      <c r="K17" s="33">
        <f t="shared" si="5"/>
        <v>954122684.03380871</v>
      </c>
      <c r="L17" s="33">
        <f t="shared" si="5"/>
        <v>7050159579.1054306</v>
      </c>
      <c r="M17" s="33">
        <f t="shared" si="5"/>
        <v>462527151.99260515</v>
      </c>
      <c r="N17" s="33">
        <f t="shared" si="5"/>
        <v>8603652067.9755058</v>
      </c>
      <c r="O17" s="33">
        <f t="shared" si="5"/>
        <v>455438914.43706948</v>
      </c>
      <c r="P17" s="33">
        <f t="shared" si="5"/>
        <v>264617591.21427003</v>
      </c>
      <c r="Q17" s="33">
        <f>SUM(Q5:Q16)</f>
        <v>22034121.433358308</v>
      </c>
      <c r="R17" s="33">
        <f t="shared" si="5"/>
        <v>782875787.49400532</v>
      </c>
      <c r="S17" s="33">
        <f t="shared" si="5"/>
        <v>44699508.995577149</v>
      </c>
      <c r="T17" s="33">
        <f t="shared" si="5"/>
        <v>10173317991.549788</v>
      </c>
    </row>
    <row r="18" spans="1:20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40"/>
      <c r="R19" s="6"/>
      <c r="S19" s="6"/>
      <c r="T19" s="6"/>
    </row>
    <row r="20" spans="1: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>
      <c r="A21" s="72" t="s">
        <v>102</v>
      </c>
      <c r="B21" s="72"/>
      <c r="C21" s="72"/>
      <c r="D21" s="72"/>
      <c r="E21" s="72"/>
      <c r="F21" s="72"/>
      <c r="G21" s="72"/>
      <c r="H21" s="6"/>
      <c r="I21" s="73" t="s">
        <v>103</v>
      </c>
      <c r="J21" s="73" t="s">
        <v>103</v>
      </c>
      <c r="K21" s="73" t="s">
        <v>103</v>
      </c>
      <c r="L21" s="73" t="s">
        <v>103</v>
      </c>
      <c r="M21" s="73" t="s">
        <v>103</v>
      </c>
      <c r="N21" s="73" t="s">
        <v>103</v>
      </c>
      <c r="O21" s="73" t="s">
        <v>104</v>
      </c>
      <c r="P21" s="73" t="s">
        <v>103</v>
      </c>
      <c r="Q21" s="73" t="s">
        <v>103</v>
      </c>
      <c r="R21" s="73" t="s">
        <v>103</v>
      </c>
      <c r="S21" s="73" t="s">
        <v>103</v>
      </c>
      <c r="T21" s="73" t="s">
        <v>103</v>
      </c>
    </row>
    <row r="22" spans="1:20">
      <c r="A22" s="14" t="s">
        <v>41</v>
      </c>
      <c r="B22" s="14" t="s">
        <v>105</v>
      </c>
      <c r="C22" s="14" t="s">
        <v>106</v>
      </c>
      <c r="D22" s="14" t="s">
        <v>107</v>
      </c>
      <c r="E22" s="14" t="s">
        <v>108</v>
      </c>
      <c r="F22" s="14" t="s">
        <v>109</v>
      </c>
      <c r="G22" s="14" t="s">
        <v>110</v>
      </c>
      <c r="H22" s="6"/>
      <c r="I22" s="73" t="s">
        <v>103</v>
      </c>
      <c r="J22" s="73" t="s">
        <v>103</v>
      </c>
      <c r="K22" s="73" t="s">
        <v>103</v>
      </c>
      <c r="L22" s="73" t="s">
        <v>103</v>
      </c>
      <c r="M22" s="73" t="s">
        <v>103</v>
      </c>
      <c r="N22" s="73" t="s">
        <v>103</v>
      </c>
      <c r="O22" s="73" t="s">
        <v>103</v>
      </c>
      <c r="P22" s="73" t="s">
        <v>103</v>
      </c>
      <c r="Q22" s="73" t="s">
        <v>103</v>
      </c>
      <c r="R22" s="73" t="s">
        <v>103</v>
      </c>
      <c r="S22" s="73" t="s">
        <v>103</v>
      </c>
      <c r="T22" s="73" t="s">
        <v>103</v>
      </c>
    </row>
    <row r="23" spans="1:20" ht="27.6">
      <c r="A23" s="34" t="s">
        <v>111</v>
      </c>
      <c r="B23" s="37">
        <v>1.9259780000000004E-2</v>
      </c>
      <c r="C23" s="35">
        <v>1.8511290000000003E-2</v>
      </c>
      <c r="D23" s="35">
        <v>1.8511290000000003E-2</v>
      </c>
      <c r="E23" s="35">
        <v>1.8511290000000003E-2</v>
      </c>
      <c r="F23" s="35">
        <v>1.8511290000000003E-2</v>
      </c>
      <c r="G23" s="35">
        <v>0.16305031000000003</v>
      </c>
      <c r="H23" s="6"/>
      <c r="I23" s="73" t="s">
        <v>103</v>
      </c>
      <c r="J23" s="73" t="s">
        <v>103</v>
      </c>
      <c r="K23" s="73" t="s">
        <v>103</v>
      </c>
      <c r="L23" s="73" t="s">
        <v>103</v>
      </c>
      <c r="M23" s="73" t="s">
        <v>103</v>
      </c>
      <c r="N23" s="73" t="s">
        <v>103</v>
      </c>
      <c r="O23" s="73" t="s">
        <v>103</v>
      </c>
      <c r="P23" s="73" t="s">
        <v>103</v>
      </c>
      <c r="Q23" s="73" t="s">
        <v>103</v>
      </c>
      <c r="R23" s="73" t="s">
        <v>103</v>
      </c>
      <c r="S23" s="73" t="s">
        <v>103</v>
      </c>
      <c r="T23" s="73" t="s">
        <v>103</v>
      </c>
    </row>
    <row r="24" spans="1:20">
      <c r="A24" s="34" t="s">
        <v>112</v>
      </c>
      <c r="B24" s="36">
        <f>CONSOLIDADO!$B$5</f>
        <v>1.0396000000000001</v>
      </c>
      <c r="C24" s="36">
        <f>CONSOLIDADO!$B$5</f>
        <v>1.0396000000000001</v>
      </c>
      <c r="D24" s="36">
        <f>CONSOLIDADO!$B$5</f>
        <v>1.0396000000000001</v>
      </c>
      <c r="E24" s="36">
        <f>CONSOLIDADO!$B$5</f>
        <v>1.0396000000000001</v>
      </c>
      <c r="F24" s="36">
        <f>CONSOLIDADO!$B$5</f>
        <v>1.0396000000000001</v>
      </c>
      <c r="G24" s="36">
        <f>CONSOLIDADO!$B$5</f>
        <v>1.0396000000000001</v>
      </c>
      <c r="H24" s="6"/>
      <c r="I24" s="73" t="s">
        <v>103</v>
      </c>
      <c r="J24" s="73" t="s">
        <v>103</v>
      </c>
      <c r="K24" s="73" t="s">
        <v>103</v>
      </c>
      <c r="L24" s="73" t="s">
        <v>103</v>
      </c>
      <c r="M24" s="73" t="s">
        <v>103</v>
      </c>
      <c r="N24" s="73" t="s">
        <v>103</v>
      </c>
      <c r="O24" s="73" t="s">
        <v>103</v>
      </c>
      <c r="P24" s="73" t="s">
        <v>103</v>
      </c>
      <c r="Q24" s="73" t="s">
        <v>103</v>
      </c>
      <c r="R24" s="73" t="s">
        <v>103</v>
      </c>
      <c r="S24" s="73" t="s">
        <v>103</v>
      </c>
      <c r="T24" s="73" t="s">
        <v>103</v>
      </c>
    </row>
    <row r="25" spans="1:20" ht="27.6">
      <c r="A25" s="34" t="s">
        <v>113</v>
      </c>
      <c r="B25" s="38">
        <f>B23*B24</f>
        <v>2.0022467288000004E-2</v>
      </c>
      <c r="C25" s="34">
        <f>C23*C24</f>
        <v>1.9244337084000005E-2</v>
      </c>
      <c r="D25" s="34">
        <f t="shared" ref="D25:G25" si="6">D23*D24</f>
        <v>1.9244337084000005E-2</v>
      </c>
      <c r="E25" s="34">
        <f t="shared" si="6"/>
        <v>1.9244337084000005E-2</v>
      </c>
      <c r="F25" s="34">
        <f t="shared" si="6"/>
        <v>1.9244337084000005E-2</v>
      </c>
      <c r="G25" s="34">
        <f t="shared" si="6"/>
        <v>0.16950710227600005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ht="27.6">
      <c r="A26" s="34" t="s">
        <v>114</v>
      </c>
      <c r="B26" s="35">
        <v>7.8322700000000023E-3</v>
      </c>
      <c r="C26" s="35">
        <v>1.9230560000000004E-2</v>
      </c>
      <c r="D26" s="35">
        <v>2.5151340000000005E-2</v>
      </c>
      <c r="E26" s="35">
        <v>3.5580490000000006E-2</v>
      </c>
      <c r="F26" s="35">
        <v>7.0663770000000015E-2</v>
      </c>
      <c r="G26" s="35">
        <v>0.21950203000000004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>
      <c r="A27" s="34" t="s">
        <v>112</v>
      </c>
      <c r="B27" s="36">
        <f>CONSOLIDADO!$B$5</f>
        <v>1.0396000000000001</v>
      </c>
      <c r="C27" s="36">
        <f>CONSOLIDADO!$B$5</f>
        <v>1.0396000000000001</v>
      </c>
      <c r="D27" s="36">
        <f>CONSOLIDADO!$B$5</f>
        <v>1.0396000000000001</v>
      </c>
      <c r="E27" s="36">
        <f>CONSOLIDADO!$B$5</f>
        <v>1.0396000000000001</v>
      </c>
      <c r="F27" s="36">
        <f>CONSOLIDADO!$B$5</f>
        <v>1.0396000000000001</v>
      </c>
      <c r="G27" s="36">
        <f>CONSOLIDADO!$B$5</f>
        <v>1.0396000000000001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ht="27.6">
      <c r="A28" s="34" t="s">
        <v>115</v>
      </c>
      <c r="B28" s="34">
        <f>B26*B27</f>
        <v>8.1424278920000023E-3</v>
      </c>
      <c r="C28" s="34">
        <f>C26*C27</f>
        <v>1.9992090176000007E-2</v>
      </c>
      <c r="D28" s="34">
        <f t="shared" ref="D28:G28" si="7">D26*D27</f>
        <v>2.6147333064000008E-2</v>
      </c>
      <c r="E28" s="34">
        <f t="shared" si="7"/>
        <v>3.6989477404000007E-2</v>
      </c>
      <c r="F28" s="34">
        <f t="shared" si="7"/>
        <v>7.346205529200002E-2</v>
      </c>
      <c r="G28" s="34">
        <f t="shared" si="7"/>
        <v>0.22819431038800006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>
      <c r="A29" s="34"/>
      <c r="B29" s="34"/>
      <c r="C29" s="34"/>
      <c r="D29" s="34"/>
      <c r="E29" s="34"/>
      <c r="F29" s="34"/>
      <c r="G29" s="34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8:20"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8:20"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8:20"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8:20"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8:20"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8:20"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8:20"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8:20"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8:20"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8:20"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8:20"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8:20"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8:20"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8:20"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8:20"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8:20"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</sheetData>
  <mergeCells count="4">
    <mergeCell ref="A1:T1"/>
    <mergeCell ref="A2:T2"/>
    <mergeCell ref="A21:G21"/>
    <mergeCell ref="I21:T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workbookViewId="0">
      <selection activeCell="C6" sqref="C6"/>
    </sheetView>
  </sheetViews>
  <sheetFormatPr baseColWidth="10" defaultColWidth="8.796875" defaultRowHeight="13.8"/>
  <cols>
    <col min="1" max="1" width="22" customWidth="1"/>
    <col min="2" max="7" width="15" customWidth="1"/>
    <col min="8" max="8" width="18" customWidth="1"/>
  </cols>
  <sheetData>
    <row r="1" spans="1:8" ht="13.35" customHeight="1">
      <c r="A1" s="74" t="s">
        <v>116</v>
      </c>
      <c r="B1" s="74"/>
      <c r="C1" s="74"/>
      <c r="D1" s="74"/>
      <c r="E1" s="74"/>
      <c r="F1" s="74"/>
      <c r="G1" s="74"/>
      <c r="H1" s="74"/>
    </row>
    <row r="2" spans="1:8">
      <c r="A2" s="75" t="s">
        <v>117</v>
      </c>
      <c r="B2" s="75"/>
      <c r="C2" s="75"/>
      <c r="D2" s="75"/>
      <c r="E2" s="75"/>
      <c r="F2" s="75"/>
      <c r="G2" s="75"/>
      <c r="H2" s="75"/>
    </row>
    <row r="3" spans="1:8">
      <c r="A3" s="6"/>
      <c r="B3" s="6"/>
      <c r="C3" s="6"/>
      <c r="D3" s="6"/>
      <c r="E3" s="6"/>
      <c r="F3" s="6"/>
      <c r="G3" s="6"/>
      <c r="H3" s="6"/>
    </row>
    <row r="4" spans="1:8">
      <c r="A4" s="7" t="s">
        <v>45</v>
      </c>
      <c r="B4" s="7" t="s">
        <v>118</v>
      </c>
      <c r="C4" s="7" t="s">
        <v>119</v>
      </c>
      <c r="D4" s="7" t="s">
        <v>120</v>
      </c>
      <c r="E4" s="7" t="s">
        <v>121</v>
      </c>
      <c r="F4" s="7" t="s">
        <v>122</v>
      </c>
      <c r="G4" s="7" t="s">
        <v>123</v>
      </c>
      <c r="H4" s="7" t="s">
        <v>124</v>
      </c>
    </row>
    <row r="5" spans="1:8">
      <c r="A5" s="6" t="s">
        <v>53</v>
      </c>
      <c r="B5" s="8">
        <v>83.218841069720426</v>
      </c>
      <c r="C5" s="8">
        <v>35.917078372034432</v>
      </c>
      <c r="D5" s="8">
        <v>16.142801951031053</v>
      </c>
      <c r="E5" s="8">
        <v>35.247075568667178</v>
      </c>
      <c r="F5" s="8">
        <v>19.523042460775862</v>
      </c>
      <c r="G5" s="8">
        <v>3.1446780018867528</v>
      </c>
      <c r="H5" s="8">
        <v>193.1935174241157</v>
      </c>
    </row>
    <row r="6" spans="1:8">
      <c r="A6" s="6" t="s">
        <v>55</v>
      </c>
      <c r="B6" s="8">
        <v>77.78115893027956</v>
      </c>
      <c r="C6" s="8">
        <v>81.504139382693523</v>
      </c>
      <c r="D6" s="8">
        <v>32.135871927367553</v>
      </c>
      <c r="E6" s="8">
        <v>32.669917947379858</v>
      </c>
      <c r="F6" s="8">
        <v>29.54010089614777</v>
      </c>
      <c r="G6" s="8">
        <v>4.7336115390089333</v>
      </c>
      <c r="H6" s="8">
        <v>258.36480062287717</v>
      </c>
    </row>
    <row r="7" spans="1:8">
      <c r="A7" s="6" t="s">
        <v>57</v>
      </c>
      <c r="B7" s="8">
        <v>0</v>
      </c>
      <c r="C7" s="8">
        <v>96.328782245272052</v>
      </c>
      <c r="D7" s="8">
        <v>68.721326121601379</v>
      </c>
      <c r="E7" s="8">
        <v>24.333006483952971</v>
      </c>
      <c r="F7" s="8">
        <v>24.436856643076371</v>
      </c>
      <c r="G7" s="8">
        <v>2.1217104591043152</v>
      </c>
      <c r="H7" s="8">
        <v>215.94168195300708</v>
      </c>
    </row>
    <row r="8" spans="1:8">
      <c r="A8" s="6" t="s">
        <v>59</v>
      </c>
      <c r="B8" s="8">
        <v>63.699295128500971</v>
      </c>
      <c r="C8" s="8">
        <v>37.436387376123392</v>
      </c>
      <c r="D8" s="8">
        <v>24.554395196265329</v>
      </c>
      <c r="E8" s="8">
        <v>24.956358216712427</v>
      </c>
      <c r="F8" s="8">
        <v>14.129290483741304</v>
      </c>
      <c r="G8" s="8">
        <v>1.0793786336613973</v>
      </c>
      <c r="H8" s="8">
        <v>165.85510503500481</v>
      </c>
    </row>
    <row r="9" spans="1:8">
      <c r="A9" s="6" t="s">
        <v>61</v>
      </c>
      <c r="B9" s="8">
        <v>97.270545263792016</v>
      </c>
      <c r="C9" s="8">
        <v>80.80781177529073</v>
      </c>
      <c r="D9" s="8">
        <v>64.673372016764645</v>
      </c>
      <c r="E9" s="8">
        <v>30.10866804038606</v>
      </c>
      <c r="F9" s="8">
        <v>20.662340795175748</v>
      </c>
      <c r="G9" s="8">
        <v>3.7778252178148914</v>
      </c>
      <c r="H9" s="8">
        <v>297.30056310922407</v>
      </c>
    </row>
    <row r="10" spans="1:8">
      <c r="A10" s="6" t="s">
        <v>65</v>
      </c>
      <c r="B10" s="8">
        <v>3.0159607707012329E-2</v>
      </c>
      <c r="C10" s="8">
        <v>95.505800848585878</v>
      </c>
      <c r="D10" s="8">
        <v>27.772232786970022</v>
      </c>
      <c r="E10" s="8">
        <v>37.184973742901512</v>
      </c>
      <c r="F10" s="8">
        <v>38.708368721082948</v>
      </c>
      <c r="G10" s="8">
        <v>5.1427961485237113</v>
      </c>
      <c r="H10" s="8">
        <v>204.34433185577109</v>
      </c>
    </row>
    <row r="11" spans="1:8">
      <c r="A11" s="6" t="s">
        <v>68</v>
      </c>
      <c r="B11" s="8">
        <v>27.068003614987809</v>
      </c>
      <c r="C11" s="8">
        <v>31.622993254262557</v>
      </c>
      <c r="D11" s="8">
        <v>17.842520014171381</v>
      </c>
      <c r="E11" s="8">
        <v>3.8325701032204049E-2</v>
      </c>
      <c r="F11" s="8">
        <v>28.709850575407998</v>
      </c>
      <c r="G11" s="8">
        <v>3.3631026065527903</v>
      </c>
      <c r="H11" s="8">
        <v>108.64479576641475</v>
      </c>
    </row>
    <row r="12" spans="1:8">
      <c r="A12" s="6" t="s">
        <v>70</v>
      </c>
      <c r="B12" s="8">
        <v>77.588191009248447</v>
      </c>
      <c r="C12" s="8">
        <v>72.601881960145917</v>
      </c>
      <c r="D12" s="8">
        <v>45.76499076269014</v>
      </c>
      <c r="E12" s="8">
        <v>49.007603123926934</v>
      </c>
      <c r="F12" s="8">
        <v>18.404679581741441</v>
      </c>
      <c r="G12" s="8">
        <v>4.1820604951767901</v>
      </c>
      <c r="H12" s="8">
        <v>267.54940693292968</v>
      </c>
    </row>
    <row r="13" spans="1:8">
      <c r="A13" s="6" t="s">
        <v>73</v>
      </c>
      <c r="B13" s="8">
        <v>56.343805375763765</v>
      </c>
      <c r="C13" s="8">
        <v>109.52512478559153</v>
      </c>
      <c r="D13" s="8">
        <v>53.39248922313849</v>
      </c>
      <c r="E13" s="8">
        <v>43.204071175040859</v>
      </c>
      <c r="F13" s="8">
        <v>26.385469842850565</v>
      </c>
      <c r="G13" s="8">
        <v>2.4548368982704192</v>
      </c>
      <c r="H13" s="8">
        <v>291.30579730065563</v>
      </c>
    </row>
    <row r="14" spans="1:8">
      <c r="A14" s="6" t="s">
        <v>76</v>
      </c>
      <c r="B14" s="8">
        <v>77.00849224084395</v>
      </c>
      <c r="C14" s="8">
        <v>76.669291073090875</v>
      </c>
      <c r="D14" s="8">
        <v>43.991204785807732</v>
      </c>
      <c r="E14" s="8">
        <v>30.082786051286561</v>
      </c>
      <c r="F14" s="8">
        <v>10.230046515395175</v>
      </c>
      <c r="G14" s="8">
        <v>2.3357398711955399</v>
      </c>
      <c r="H14" s="8">
        <v>240.31756053761984</v>
      </c>
    </row>
    <row r="15" spans="1:8">
      <c r="A15" s="6" t="s">
        <v>78</v>
      </c>
      <c r="B15" s="8">
        <v>63.643382017226415</v>
      </c>
      <c r="C15" s="8">
        <v>84.026445266973326</v>
      </c>
      <c r="D15" s="8">
        <v>46.560034262351245</v>
      </c>
      <c r="E15" s="8">
        <v>29.879523983372462</v>
      </c>
      <c r="F15" s="8">
        <v>34.980159052641568</v>
      </c>
      <c r="G15" s="8">
        <v>3.0087496645908649</v>
      </c>
      <c r="H15" s="8">
        <v>262.09829424715588</v>
      </c>
    </row>
    <row r="16" spans="1:8">
      <c r="A16" s="6" t="s">
        <v>81</v>
      </c>
      <c r="B16" s="8">
        <v>20.34812574192965</v>
      </c>
      <c r="C16" s="8">
        <v>53.054263659935799</v>
      </c>
      <c r="D16" s="8">
        <v>26.448760951841024</v>
      </c>
      <c r="E16" s="8">
        <v>32.287689965340967</v>
      </c>
      <c r="F16" s="8">
        <v>28.289794431963251</v>
      </c>
      <c r="G16" s="8">
        <v>4.6555104642135952</v>
      </c>
      <c r="H16" s="8">
        <v>165.08414521522428</v>
      </c>
    </row>
    <row r="17" spans="1:8">
      <c r="A17" s="9" t="s">
        <v>101</v>
      </c>
      <c r="B17" s="10">
        <f t="shared" ref="B17:H17" si="0">SUM(B5:B16)</f>
        <v>643.99999999999989</v>
      </c>
      <c r="C17" s="10">
        <f t="shared" si="0"/>
        <v>855.00000000000011</v>
      </c>
      <c r="D17" s="10">
        <f t="shared" si="0"/>
        <v>468</v>
      </c>
      <c r="E17" s="10">
        <f t="shared" si="0"/>
        <v>369</v>
      </c>
      <c r="F17" s="10">
        <f t="shared" si="0"/>
        <v>293.99999999999994</v>
      </c>
      <c r="G17" s="10">
        <f t="shared" si="0"/>
        <v>40</v>
      </c>
      <c r="H17" s="10">
        <f t="shared" si="0"/>
        <v>2670.0000000000005</v>
      </c>
    </row>
    <row r="18" spans="1:8">
      <c r="A18" s="6"/>
      <c r="B18" s="6"/>
      <c r="C18" s="6"/>
      <c r="D18" s="6"/>
      <c r="E18" s="6"/>
      <c r="F18" s="6"/>
      <c r="G18" s="6"/>
      <c r="H18" s="6"/>
    </row>
    <row r="19" spans="1:8">
      <c r="A19" s="6"/>
      <c r="B19" s="6"/>
      <c r="C19" s="6"/>
      <c r="D19" s="6"/>
      <c r="E19" s="6"/>
      <c r="F19" s="6"/>
      <c r="G19" s="6"/>
      <c r="H19" s="6"/>
    </row>
    <row r="20" spans="1:8" ht="41.4">
      <c r="A20" s="11" t="s">
        <v>125</v>
      </c>
      <c r="B20" s="11" t="s">
        <v>126</v>
      </c>
      <c r="C20" s="11" t="s">
        <v>127</v>
      </c>
      <c r="D20" s="11" t="s">
        <v>128</v>
      </c>
      <c r="E20" s="6"/>
      <c r="F20" s="6"/>
      <c r="G20" s="6"/>
      <c r="H20" s="6"/>
    </row>
    <row r="21" spans="1:8" ht="41.4">
      <c r="A21" s="6" t="s">
        <v>84</v>
      </c>
      <c r="B21" s="12">
        <v>19.36</v>
      </c>
      <c r="C21" s="6" t="s">
        <v>129</v>
      </c>
      <c r="D21" s="6" t="s">
        <v>130</v>
      </c>
      <c r="E21" s="6"/>
      <c r="F21" s="6"/>
      <c r="G21" s="6"/>
      <c r="H21" s="6"/>
    </row>
    <row r="22" spans="1:8" ht="27.6">
      <c r="A22" s="6" t="s">
        <v>131</v>
      </c>
      <c r="B22" s="13">
        <v>2670</v>
      </c>
      <c r="C22" s="6" t="s">
        <v>132</v>
      </c>
      <c r="D22" s="6" t="s">
        <v>133</v>
      </c>
      <c r="E22" s="6"/>
      <c r="F22" s="6"/>
      <c r="G22" s="6"/>
      <c r="H22" s="6"/>
    </row>
    <row r="23" spans="1:8" ht="27.6">
      <c r="A23" s="6" t="s">
        <v>134</v>
      </c>
      <c r="B23" s="6" t="s">
        <v>135</v>
      </c>
      <c r="C23" s="6" t="s">
        <v>136</v>
      </c>
      <c r="D23" s="6" t="s">
        <v>133</v>
      </c>
      <c r="E23" s="6"/>
      <c r="F23" s="6"/>
      <c r="G23" s="6"/>
      <c r="H23" s="6"/>
    </row>
    <row r="24" spans="1:8" ht="27.6">
      <c r="A24" s="6" t="s">
        <v>137</v>
      </c>
      <c r="B24" s="6" t="s">
        <v>138</v>
      </c>
      <c r="C24" s="6" t="s">
        <v>136</v>
      </c>
      <c r="D24" s="6" t="s">
        <v>133</v>
      </c>
      <c r="E24" s="6"/>
      <c r="F24" s="6"/>
      <c r="G24" s="6"/>
      <c r="H24" s="6"/>
    </row>
    <row r="25" spans="1:8" ht="41.4">
      <c r="A25" s="6" t="s">
        <v>139</v>
      </c>
      <c r="B25" s="6" t="s">
        <v>140</v>
      </c>
      <c r="C25" s="6" t="s">
        <v>141</v>
      </c>
      <c r="D25" s="6" t="s">
        <v>142</v>
      </c>
      <c r="E25" s="6"/>
      <c r="F25" s="6"/>
      <c r="G25" s="6"/>
      <c r="H25" s="6"/>
    </row>
    <row r="26" spans="1:8">
      <c r="A26" s="6"/>
      <c r="B26" s="6"/>
      <c r="C26" s="6"/>
      <c r="D26" s="6"/>
      <c r="E26" s="6"/>
      <c r="F26" s="6"/>
      <c r="G26" s="6"/>
      <c r="H26" s="6"/>
    </row>
    <row r="27" spans="1:8">
      <c r="A27" s="6"/>
      <c r="B27" s="6"/>
      <c r="C27" s="6"/>
      <c r="D27" s="6"/>
      <c r="E27" s="6"/>
      <c r="F27" s="6"/>
      <c r="G27" s="6"/>
      <c r="H27" s="6"/>
    </row>
    <row r="28" spans="1:8">
      <c r="A28" s="72" t="s">
        <v>143</v>
      </c>
      <c r="B28" s="72"/>
      <c r="C28" s="72"/>
      <c r="D28" s="72"/>
      <c r="E28" s="72"/>
      <c r="F28" s="72"/>
      <c r="G28" s="72"/>
      <c r="H28" s="6"/>
    </row>
    <row r="29" spans="1:8">
      <c r="A29" s="14" t="s">
        <v>41</v>
      </c>
      <c r="B29" s="14" t="s">
        <v>144</v>
      </c>
      <c r="C29" s="14" t="s">
        <v>145</v>
      </c>
      <c r="D29" s="14" t="s">
        <v>146</v>
      </c>
      <c r="E29" s="14" t="s">
        <v>147</v>
      </c>
      <c r="F29" s="14" t="s">
        <v>148</v>
      </c>
      <c r="G29" s="14" t="s">
        <v>149</v>
      </c>
      <c r="H29" s="6"/>
    </row>
    <row r="30" spans="1:8">
      <c r="A30" s="6" t="s">
        <v>150</v>
      </c>
      <c r="B30" s="15">
        <v>1</v>
      </c>
      <c r="C30" s="15">
        <v>0.59</v>
      </c>
      <c r="D30" s="15">
        <v>0.59699999999999998</v>
      </c>
      <c r="E30" s="15">
        <v>0.60199999999999998</v>
      </c>
      <c r="F30" s="15">
        <v>0.28399999999999997</v>
      </c>
      <c r="G30" s="15">
        <v>0.26900000000000002</v>
      </c>
      <c r="H30" s="6"/>
    </row>
    <row r="31" spans="1:8">
      <c r="A31" s="6" t="s">
        <v>151</v>
      </c>
      <c r="B31" s="15"/>
      <c r="C31" s="15">
        <v>5.2195121951000001</v>
      </c>
      <c r="D31" s="15">
        <v>6.9727047145999999</v>
      </c>
      <c r="E31" s="15">
        <v>9.5979899497000005</v>
      </c>
      <c r="F31" s="15">
        <v>4.3337988827</v>
      </c>
      <c r="G31" s="15">
        <v>2.4760601914999998</v>
      </c>
      <c r="H31" s="6"/>
    </row>
    <row r="32" spans="1:8">
      <c r="A32" s="6" t="s">
        <v>152</v>
      </c>
      <c r="B32" s="15"/>
      <c r="C32" s="15">
        <v>0.41</v>
      </c>
      <c r="D32" s="15">
        <v>0.40300000000000002</v>
      </c>
      <c r="E32" s="15">
        <v>0.39800000000000002</v>
      </c>
      <c r="F32" s="15">
        <v>0.71599999999999997</v>
      </c>
      <c r="G32" s="15">
        <v>0.73099999999999998</v>
      </c>
      <c r="H32" s="6"/>
    </row>
    <row r="33" spans="1:8" ht="27.6">
      <c r="A33" s="6" t="s">
        <v>153</v>
      </c>
      <c r="B33" s="6" t="s">
        <v>154</v>
      </c>
      <c r="C33" s="6" t="s">
        <v>155</v>
      </c>
      <c r="D33" s="6" t="s">
        <v>156</v>
      </c>
      <c r="E33" s="6" t="s">
        <v>157</v>
      </c>
      <c r="F33" s="6" t="s">
        <v>158</v>
      </c>
      <c r="G33" s="6" t="s">
        <v>159</v>
      </c>
      <c r="H33" s="6"/>
    </row>
    <row r="34" spans="1:8">
      <c r="A34" s="6"/>
      <c r="B34" s="6"/>
      <c r="C34" s="6"/>
      <c r="D34" s="6"/>
      <c r="E34" s="6"/>
      <c r="F34" s="6"/>
      <c r="G34" s="6"/>
      <c r="H34" s="6"/>
    </row>
    <row r="35" spans="1:8">
      <c r="A35" s="6"/>
      <c r="B35" s="6"/>
      <c r="C35" s="6"/>
      <c r="D35" s="6"/>
      <c r="E35" s="6"/>
      <c r="F35" s="6"/>
      <c r="G35" s="6"/>
      <c r="H35" s="6"/>
    </row>
  </sheetData>
  <mergeCells count="3">
    <mergeCell ref="A1:H1"/>
    <mergeCell ref="A2:H2"/>
    <mergeCell ref="A28:G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31"/>
  <sheetViews>
    <sheetView topLeftCell="A39" zoomScale="66" workbookViewId="0">
      <selection activeCell="A63" sqref="A63"/>
    </sheetView>
  </sheetViews>
  <sheetFormatPr baseColWidth="10" defaultColWidth="8.796875" defaultRowHeight="13.8"/>
  <cols>
    <col min="1" max="1" width="30" customWidth="1"/>
    <col min="2" max="3" width="13" customWidth="1"/>
    <col min="4" max="4" width="28" customWidth="1"/>
    <col min="5" max="14" width="13" customWidth="1"/>
  </cols>
  <sheetData>
    <row r="1" spans="1:14" ht="39.6">
      <c r="A1" s="41" t="s">
        <v>160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39.6">
      <c r="A2" s="42" t="s">
        <v>161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1:14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</row>
    <row r="4" spans="1:14">
      <c r="A4" s="44" t="s">
        <v>162</v>
      </c>
      <c r="B4" s="44" t="s">
        <v>163</v>
      </c>
      <c r="C4" s="44" t="s">
        <v>164</v>
      </c>
      <c r="D4" s="44" t="s">
        <v>165</v>
      </c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>
      <c r="A5" s="43" t="s">
        <v>84</v>
      </c>
      <c r="B5" s="45">
        <v>19.36</v>
      </c>
      <c r="C5" s="43" t="s">
        <v>129</v>
      </c>
      <c r="D5" s="43" t="s">
        <v>166</v>
      </c>
      <c r="E5" s="43"/>
      <c r="F5" s="43"/>
      <c r="G5" s="43"/>
      <c r="H5" s="43"/>
      <c r="I5" s="43"/>
      <c r="J5" s="43"/>
      <c r="K5" s="43"/>
      <c r="L5" s="43"/>
      <c r="M5" s="43"/>
      <c r="N5" s="43"/>
    </row>
    <row r="6" spans="1:14">
      <c r="A6" s="43" t="s">
        <v>167</v>
      </c>
      <c r="B6" s="46">
        <v>0.16</v>
      </c>
      <c r="C6" s="43" t="s">
        <v>168</v>
      </c>
      <c r="D6" s="43" t="s">
        <v>169</v>
      </c>
      <c r="E6" s="43"/>
      <c r="F6" s="43"/>
      <c r="G6" s="43"/>
      <c r="H6" s="43"/>
      <c r="I6" s="43"/>
      <c r="J6" s="43"/>
      <c r="K6" s="43"/>
      <c r="L6" s="43"/>
      <c r="M6" s="43"/>
      <c r="N6" s="43"/>
    </row>
    <row r="7" spans="1:14">
      <c r="A7" s="43" t="s">
        <v>170</v>
      </c>
      <c r="B7" s="46">
        <v>0.93</v>
      </c>
      <c r="C7" s="43" t="s">
        <v>168</v>
      </c>
      <c r="D7" s="43" t="s">
        <v>169</v>
      </c>
      <c r="E7" s="43"/>
      <c r="F7" s="43"/>
      <c r="G7" s="43"/>
      <c r="H7" s="43"/>
      <c r="I7" s="43"/>
      <c r="J7" s="43"/>
      <c r="K7" s="43"/>
      <c r="L7" s="43"/>
      <c r="M7" s="43"/>
      <c r="N7" s="43"/>
    </row>
    <row r="8" spans="1:14">
      <c r="A8" s="43" t="s">
        <v>83</v>
      </c>
      <c r="B8" s="46">
        <v>3.9600000000000003E-2</v>
      </c>
      <c r="C8" s="43" t="s">
        <v>171</v>
      </c>
      <c r="D8" s="43" t="s">
        <v>172</v>
      </c>
      <c r="E8" s="43"/>
      <c r="F8" s="43"/>
      <c r="G8" s="43"/>
      <c r="H8" s="43"/>
      <c r="I8" s="43"/>
      <c r="J8" s="43"/>
      <c r="K8" s="43"/>
      <c r="L8" s="43"/>
      <c r="M8" s="43"/>
      <c r="N8" s="43"/>
    </row>
    <row r="9" spans="1:14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</row>
    <row r="10" spans="1:14" ht="26.4">
      <c r="A10" s="41" t="s">
        <v>173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</row>
    <row r="11" spans="1:14">
      <c r="A11" s="44" t="s">
        <v>174</v>
      </c>
      <c r="B11" s="44" t="s">
        <v>175</v>
      </c>
      <c r="C11" s="44" t="s">
        <v>176</v>
      </c>
      <c r="D11" s="44" t="s">
        <v>177</v>
      </c>
      <c r="E11" s="44" t="s">
        <v>178</v>
      </c>
      <c r="F11" s="44" t="s">
        <v>179</v>
      </c>
      <c r="G11" s="44" t="s">
        <v>180</v>
      </c>
      <c r="H11" s="44" t="s">
        <v>181</v>
      </c>
      <c r="I11" s="44" t="s">
        <v>182</v>
      </c>
      <c r="J11" s="44" t="s">
        <v>183</v>
      </c>
      <c r="K11" s="44" t="s">
        <v>184</v>
      </c>
      <c r="L11" s="44" t="s">
        <v>185</v>
      </c>
      <c r="M11" s="44" t="s">
        <v>186</v>
      </c>
      <c r="N11" s="44" t="s">
        <v>187</v>
      </c>
    </row>
    <row r="12" spans="1:14">
      <c r="A12" s="43" t="s">
        <v>188</v>
      </c>
      <c r="B12" s="47">
        <v>8.9030633336840772</v>
      </c>
      <c r="C12" s="47">
        <v>8.9030633336840772</v>
      </c>
      <c r="D12" s="47">
        <v>8.9186778775459086</v>
      </c>
      <c r="E12" s="47">
        <v>8.9417112430488519</v>
      </c>
      <c r="F12" s="47">
        <v>8.9664599203423041</v>
      </c>
      <c r="G12" s="47">
        <v>8.9916051962710917</v>
      </c>
      <c r="H12" s="47">
        <v>9.0168421700931844</v>
      </c>
      <c r="I12" s="47">
        <v>9.0421003454598274</v>
      </c>
      <c r="J12" s="47">
        <v>9.0673634228528464</v>
      </c>
      <c r="K12" s="47">
        <v>9.0926276336473713</v>
      </c>
      <c r="L12" s="47">
        <v>9.1178921064965834</v>
      </c>
      <c r="M12" s="47">
        <v>9.1431566399356701</v>
      </c>
      <c r="N12" s="47">
        <v>9.1684211873837942</v>
      </c>
    </row>
    <row r="13" spans="1:14">
      <c r="A13" s="43" t="s">
        <v>189</v>
      </c>
      <c r="B13" s="47">
        <v>2.5445575561184821</v>
      </c>
      <c r="C13" s="47">
        <v>2.5445575561184821</v>
      </c>
      <c r="D13" s="47">
        <v>2.5506873567630195</v>
      </c>
      <c r="E13" s="47">
        <v>2.5568171574075569</v>
      </c>
      <c r="F13" s="47">
        <v>2.5629469580520938</v>
      </c>
      <c r="G13" s="47">
        <v>2.5690767586966312</v>
      </c>
      <c r="H13" s="47">
        <v>2.5752065593411682</v>
      </c>
      <c r="I13" s="47">
        <v>2.5813363599857055</v>
      </c>
      <c r="J13" s="47">
        <v>2.5874661606302425</v>
      </c>
      <c r="K13" s="47">
        <v>2.5935959612747799</v>
      </c>
      <c r="L13" s="47">
        <v>2.5997257619193173</v>
      </c>
      <c r="M13" s="47">
        <v>2.6058555625638542</v>
      </c>
      <c r="N13" s="47">
        <v>2.6119853632083916</v>
      </c>
    </row>
    <row r="14" spans="1:14">
      <c r="A14" s="43" t="s">
        <v>190</v>
      </c>
      <c r="B14" s="47">
        <v>15.470519965098777</v>
      </c>
      <c r="C14" s="47">
        <v>15.470519965098777</v>
      </c>
      <c r="D14" s="47">
        <v>15.470519931292513</v>
      </c>
      <c r="E14" s="47">
        <v>15.470519901928583</v>
      </c>
      <c r="F14" s="47">
        <v>15.470519876423241</v>
      </c>
      <c r="G14" s="47">
        <v>15.470519854269446</v>
      </c>
      <c r="H14" s="47">
        <v>15.470519835026787</v>
      </c>
      <c r="I14" s="47">
        <v>15.47051981831272</v>
      </c>
      <c r="J14" s="47">
        <v>15.470519803794978</v>
      </c>
      <c r="K14" s="47">
        <v>15.470519791184952</v>
      </c>
      <c r="L14" s="47">
        <v>15.470519780231953</v>
      </c>
      <c r="M14" s="47">
        <v>15.470519770718241</v>
      </c>
      <c r="N14" s="47">
        <v>15.470519762454684</v>
      </c>
    </row>
    <row r="15" spans="1:14">
      <c r="A15" s="43" t="s">
        <v>191</v>
      </c>
      <c r="B15" s="47">
        <v>3.0465639642042368</v>
      </c>
      <c r="C15" s="47">
        <v>3.0465639642042368</v>
      </c>
      <c r="D15" s="47">
        <v>3.0479917049214116</v>
      </c>
      <c r="E15" s="47">
        <v>3.0485642050949995</v>
      </c>
      <c r="F15" s="47">
        <v>3.0487937680995532</v>
      </c>
      <c r="G15" s="47">
        <v>3.0488858190289516</v>
      </c>
      <c r="H15" s="47">
        <v>3.0489227299136981</v>
      </c>
      <c r="I15" s="47">
        <v>3.0489375305617923</v>
      </c>
      <c r="J15" s="47">
        <v>3.0489434653743959</v>
      </c>
      <c r="K15" s="47">
        <v>3.0489458451350941</v>
      </c>
      <c r="L15" s="47">
        <v>3.0489467993793742</v>
      </c>
      <c r="M15" s="47">
        <v>3.0489471820153873</v>
      </c>
      <c r="N15" s="47">
        <v>3.0489473354460359</v>
      </c>
    </row>
    <row r="16" spans="1:14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</row>
    <row r="17" spans="1:15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</row>
    <row r="18" spans="1:15" ht="39.6">
      <c r="A18" s="58" t="s">
        <v>192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</row>
    <row r="19" spans="1:15">
      <c r="A19" s="44" t="s">
        <v>193</v>
      </c>
      <c r="B19" s="44" t="s">
        <v>163</v>
      </c>
      <c r="C19" s="44" t="s">
        <v>164</v>
      </c>
      <c r="D19" s="44" t="s">
        <v>165</v>
      </c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51"/>
    </row>
    <row r="20" spans="1:15">
      <c r="A20" s="43" t="s">
        <v>194</v>
      </c>
      <c r="B20" s="46">
        <v>0.92</v>
      </c>
      <c r="C20" s="43" t="s">
        <v>168</v>
      </c>
      <c r="D20" s="43" t="s">
        <v>195</v>
      </c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51"/>
    </row>
    <row r="21" spans="1:15">
      <c r="A21" s="43" t="s">
        <v>196</v>
      </c>
      <c r="B21" s="46">
        <v>0.06</v>
      </c>
      <c r="C21" s="43" t="s">
        <v>168</v>
      </c>
      <c r="D21" s="43" t="s">
        <v>195</v>
      </c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51"/>
    </row>
    <row r="22" spans="1:15">
      <c r="A22" s="43" t="s">
        <v>197</v>
      </c>
      <c r="B22" s="46">
        <v>0.02</v>
      </c>
      <c r="C22" s="43" t="s">
        <v>168</v>
      </c>
      <c r="D22" s="43" t="s">
        <v>195</v>
      </c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51"/>
    </row>
    <row r="23" spans="1:15">
      <c r="A23" s="43" t="s">
        <v>198</v>
      </c>
      <c r="B23" s="45">
        <v>0.188</v>
      </c>
      <c r="C23" s="43" t="s">
        <v>199</v>
      </c>
      <c r="D23" s="43" t="s">
        <v>195</v>
      </c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51"/>
    </row>
    <row r="24" spans="1:15">
      <c r="A24" s="43" t="s">
        <v>200</v>
      </c>
      <c r="B24" s="48">
        <v>0.12790000000000001</v>
      </c>
      <c r="C24" s="43" t="s">
        <v>201</v>
      </c>
      <c r="D24" s="43" t="s">
        <v>195</v>
      </c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51"/>
    </row>
    <row r="25" spans="1:15">
      <c r="A25" s="43" t="s">
        <v>202</v>
      </c>
      <c r="B25" s="45">
        <v>1.05</v>
      </c>
      <c r="C25" s="43" t="s">
        <v>199</v>
      </c>
      <c r="D25" s="43" t="s">
        <v>195</v>
      </c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51"/>
    </row>
    <row r="26" spans="1:15">
      <c r="A26" s="43" t="s">
        <v>203</v>
      </c>
      <c r="B26" s="45">
        <v>17.945803086237156</v>
      </c>
      <c r="C26" s="43" t="s">
        <v>199</v>
      </c>
      <c r="D26" s="43" t="s">
        <v>169</v>
      </c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51"/>
    </row>
    <row r="27" spans="1:15">
      <c r="A27" s="43" t="s">
        <v>204</v>
      </c>
      <c r="B27" s="45">
        <v>24.123419999999999</v>
      </c>
      <c r="C27" s="43" t="s">
        <v>199</v>
      </c>
      <c r="D27" s="43" t="s">
        <v>169</v>
      </c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51"/>
    </row>
    <row r="28" spans="1:1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51"/>
    </row>
    <row r="29" spans="1:15">
      <c r="A29" s="44" t="s">
        <v>205</v>
      </c>
      <c r="B29" s="44" t="s">
        <v>176</v>
      </c>
      <c r="C29" s="44" t="s">
        <v>177</v>
      </c>
      <c r="D29" s="44" t="s">
        <v>178</v>
      </c>
      <c r="E29" s="44" t="s">
        <v>179</v>
      </c>
      <c r="F29" s="44" t="s">
        <v>180</v>
      </c>
      <c r="G29" s="44" t="s">
        <v>181</v>
      </c>
      <c r="H29" s="44" t="s">
        <v>182</v>
      </c>
      <c r="I29" s="44" t="s">
        <v>183</v>
      </c>
      <c r="J29" s="44" t="s">
        <v>184</v>
      </c>
      <c r="K29" s="44" t="s">
        <v>185</v>
      </c>
      <c r="L29" s="44" t="s">
        <v>186</v>
      </c>
      <c r="M29" s="44" t="s">
        <v>187</v>
      </c>
      <c r="N29" s="43"/>
      <c r="O29" s="51"/>
    </row>
    <row r="30" spans="1:15">
      <c r="A30" s="43" t="s">
        <v>206</v>
      </c>
      <c r="B30" s="49">
        <f>('METALES 2025 BUENO'!C$12+$B$23)*$B$20</f>
        <v>8.3637782669893515</v>
      </c>
      <c r="C30" s="49">
        <f>('METALES 2025 BUENO'!D$12+$B$23)*$B$20</f>
        <v>8.3781436473422364</v>
      </c>
      <c r="D30" s="49">
        <f>('METALES 2025 BUENO'!E$12+$B$23)*$B$20</f>
        <v>8.399334343604945</v>
      </c>
      <c r="E30" s="49">
        <f>('METALES 2025 BUENO'!F$12+$B$23)*$B$20</f>
        <v>8.4221031267149211</v>
      </c>
      <c r="F30" s="49">
        <f>('METALES 2025 BUENO'!G$12+$B$23)*$B$20</f>
        <v>8.445236780569406</v>
      </c>
      <c r="G30" s="49">
        <f>('METALES 2025 BUENO'!H$12+$B$23)*$B$20</f>
        <v>8.4684547964857302</v>
      </c>
      <c r="H30" s="49">
        <f>('METALES 2025 BUENO'!I$12+$B$23)*$B$20</f>
        <v>8.491692317823043</v>
      </c>
      <c r="I30" s="49">
        <f>('METALES 2025 BUENO'!J$12+$B$23)*$B$20</f>
        <v>8.5149343490246192</v>
      </c>
      <c r="J30" s="49">
        <f>('METALES 2025 BUENO'!K$12+$B$23)*$B$20</f>
        <v>8.5381774229555827</v>
      </c>
      <c r="K30" s="49">
        <f>('METALES 2025 BUENO'!L$12+$B$23)*$B$20</f>
        <v>8.5614207379768583</v>
      </c>
      <c r="L30" s="49">
        <f>('METALES 2025 BUENO'!M$12+$B$23)*$B$20</f>
        <v>8.5846641087408173</v>
      </c>
      <c r="M30" s="49">
        <f>('METALES 2025 BUENO'!N$12+$B$23)*$B$20</f>
        <v>8.6079074923930907</v>
      </c>
      <c r="N30" s="43"/>
      <c r="O30" s="51"/>
    </row>
    <row r="31" spans="1:15">
      <c r="A31" s="43" t="s">
        <v>207</v>
      </c>
      <c r="B31" s="49">
        <f>('METALES 2025 BUENO'!C$13+('METALES 2025 BUENO'!C$13*$B$24))*$B$21</f>
        <v>0.17220038805276217</v>
      </c>
      <c r="C31" s="49">
        <f>('METALES 2025 BUENO'!D$13+('METALES 2025 BUENO'!D$13*$B$24))*$B$21</f>
        <v>0.17261521618158057</v>
      </c>
      <c r="D31" s="49">
        <f>('METALES 2025 BUENO'!E$13+('METALES 2025 BUENO'!E$13*$B$24))*$B$21</f>
        <v>0.17303004431039901</v>
      </c>
      <c r="E31" s="49">
        <f>('METALES 2025 BUENO'!F$13+('METALES 2025 BUENO'!F$13*$B$24))*$B$21</f>
        <v>0.17344487243921741</v>
      </c>
      <c r="F31" s="49">
        <f>('METALES 2025 BUENO'!G$13+('METALES 2025 BUENO'!G$13*$B$24))*$B$21</f>
        <v>0.17385970056803582</v>
      </c>
      <c r="G31" s="49">
        <f>('METALES 2025 BUENO'!H$13+('METALES 2025 BUENO'!H$13*$B$24))*$B$21</f>
        <v>0.17427452869685423</v>
      </c>
      <c r="H31" s="49">
        <f>('METALES 2025 BUENO'!I$13+('METALES 2025 BUENO'!I$13*$B$24))*$B$21</f>
        <v>0.17468935682567263</v>
      </c>
      <c r="I31" s="49">
        <f>('METALES 2025 BUENO'!J$13+('METALES 2025 BUENO'!J$13*$B$24))*$B$21</f>
        <v>0.17510418495449104</v>
      </c>
      <c r="J31" s="49">
        <f>('METALES 2025 BUENO'!K$13+('METALES 2025 BUENO'!K$13*$B$24))*$B$21</f>
        <v>0.17551901308330944</v>
      </c>
      <c r="K31" s="49">
        <f>('METALES 2025 BUENO'!L$13+('METALES 2025 BUENO'!L$13*$B$24))*$B$21</f>
        <v>0.17593384121212788</v>
      </c>
      <c r="L31" s="49">
        <f>('METALES 2025 BUENO'!M$13+('METALES 2025 BUENO'!M$13*$B$24))*$B$21</f>
        <v>0.17634866934094626</v>
      </c>
      <c r="M31" s="49">
        <f>('METALES 2025 BUENO'!N$13+('METALES 2025 BUENO'!N$13*$B$24))*$B$21</f>
        <v>0.17676349746976469</v>
      </c>
      <c r="N31" s="43"/>
      <c r="O31" s="51"/>
    </row>
    <row r="32" spans="1:15">
      <c r="A32" s="43" t="s">
        <v>208</v>
      </c>
      <c r="B32" s="49">
        <f>('METALES 2025 BUENO'!C$14+$B$25)*$B$22</f>
        <v>0.33041039930197558</v>
      </c>
      <c r="C32" s="49">
        <f>('METALES 2025 BUENO'!D$14+$B$25)*$B$22</f>
        <v>0.33041039862585025</v>
      </c>
      <c r="D32" s="49">
        <f>('METALES 2025 BUENO'!E$14+$B$25)*$B$22</f>
        <v>0.3304103980385717</v>
      </c>
      <c r="E32" s="49">
        <f>('METALES 2025 BUENO'!F$14+$B$25)*$B$22</f>
        <v>0.33041039752846479</v>
      </c>
      <c r="F32" s="49">
        <f>('METALES 2025 BUENO'!G$14+$B$25)*$B$22</f>
        <v>0.33041039708538888</v>
      </c>
      <c r="G32" s="49">
        <f>('METALES 2025 BUENO'!H$14+$B$25)*$B$22</f>
        <v>0.33041039670053574</v>
      </c>
      <c r="H32" s="49">
        <f>('METALES 2025 BUENO'!I$14+$B$25)*$B$22</f>
        <v>0.33041039636625441</v>
      </c>
      <c r="I32" s="49">
        <f>('METALES 2025 BUENO'!J$14+$B$25)*$B$22</f>
        <v>0.33041039607589962</v>
      </c>
      <c r="J32" s="49">
        <f>('METALES 2025 BUENO'!K$14+$B$25)*$B$22</f>
        <v>0.33041039582369908</v>
      </c>
      <c r="K32" s="49">
        <f>('METALES 2025 BUENO'!L$14+$B$25)*$B$22</f>
        <v>0.33041039560463908</v>
      </c>
      <c r="L32" s="49">
        <f>('METALES 2025 BUENO'!M$14+$B$25)*$B$22</f>
        <v>0.33041039541436484</v>
      </c>
      <c r="M32" s="49">
        <f>('METALES 2025 BUENO'!N$14+$B$25)*$B$22</f>
        <v>0.33041039524909366</v>
      </c>
      <c r="N32" s="43"/>
      <c r="O32" s="51"/>
    </row>
    <row r="33" spans="1:15">
      <c r="A33" s="43" t="s">
        <v>209</v>
      </c>
      <c r="B33" s="49">
        <f t="shared" ref="B33:M33" si="0">SUM(B30:B32)</f>
        <v>8.8663890543440882</v>
      </c>
      <c r="C33" s="49">
        <f t="shared" si="0"/>
        <v>8.8811692621496672</v>
      </c>
      <c r="D33" s="49">
        <f t="shared" si="0"/>
        <v>8.9027747859539161</v>
      </c>
      <c r="E33" s="49">
        <f t="shared" si="0"/>
        <v>8.9259583966826028</v>
      </c>
      <c r="F33" s="49">
        <f t="shared" si="0"/>
        <v>8.9495068782228309</v>
      </c>
      <c r="G33" s="49">
        <f t="shared" si="0"/>
        <v>8.9731397218831201</v>
      </c>
      <c r="H33" s="49">
        <f t="shared" si="0"/>
        <v>8.9967920710149691</v>
      </c>
      <c r="I33" s="49">
        <f t="shared" si="0"/>
        <v>9.0204489300550108</v>
      </c>
      <c r="J33" s="49">
        <f t="shared" si="0"/>
        <v>9.0441068318625923</v>
      </c>
      <c r="K33" s="49">
        <f t="shared" si="0"/>
        <v>9.0677649747936258</v>
      </c>
      <c r="L33" s="49">
        <f t="shared" si="0"/>
        <v>9.0914231734961284</v>
      </c>
      <c r="M33" s="49">
        <f t="shared" si="0"/>
        <v>9.1150813851119494</v>
      </c>
      <c r="N33" s="43"/>
      <c r="O33" s="51"/>
    </row>
    <row r="34" spans="1:15">
      <c r="A34" s="43" t="s">
        <v>210</v>
      </c>
      <c r="B34" s="49">
        <f t="shared" ref="B34:M34" si="1">B33-$B$33</f>
        <v>0</v>
      </c>
      <c r="C34" s="49">
        <f t="shared" si="1"/>
        <v>1.4780207805578982E-2</v>
      </c>
      <c r="D34" s="49">
        <f t="shared" si="1"/>
        <v>3.6385731609827943E-2</v>
      </c>
      <c r="E34" s="49">
        <f t="shared" si="1"/>
        <v>5.956934233851463E-2</v>
      </c>
      <c r="F34" s="49">
        <f t="shared" si="1"/>
        <v>8.3117823878742669E-2</v>
      </c>
      <c r="G34" s="49">
        <f t="shared" si="1"/>
        <v>0.10675066753903195</v>
      </c>
      <c r="H34" s="49">
        <f t="shared" si="1"/>
        <v>0.13040301667088094</v>
      </c>
      <c r="I34" s="49">
        <f t="shared" si="1"/>
        <v>0.15405987571092261</v>
      </c>
      <c r="J34" s="49">
        <f t="shared" si="1"/>
        <v>0.17771777751850415</v>
      </c>
      <c r="K34" s="49">
        <f t="shared" si="1"/>
        <v>0.20137592044953756</v>
      </c>
      <c r="L34" s="49">
        <f t="shared" si="1"/>
        <v>0.22503411915204019</v>
      </c>
      <c r="M34" s="49">
        <f t="shared" si="1"/>
        <v>0.24869233076786124</v>
      </c>
      <c r="N34" s="43"/>
      <c r="O34" s="51"/>
    </row>
    <row r="35" spans="1:15">
      <c r="A35" s="43" t="s">
        <v>211</v>
      </c>
      <c r="B35" s="49">
        <f t="shared" ref="B35:M35" si="2">$B$27+B34</f>
        <v>24.123419999999999</v>
      </c>
      <c r="C35" s="49">
        <f t="shared" si="2"/>
        <v>24.138200207805578</v>
      </c>
      <c r="D35" s="49">
        <f t="shared" si="2"/>
        <v>24.159805731609829</v>
      </c>
      <c r="E35" s="49">
        <f t="shared" si="2"/>
        <v>24.182989342338516</v>
      </c>
      <c r="F35" s="49">
        <f t="shared" si="2"/>
        <v>24.20653782387874</v>
      </c>
      <c r="G35" s="49">
        <f t="shared" si="2"/>
        <v>24.230170667539031</v>
      </c>
      <c r="H35" s="49">
        <f t="shared" si="2"/>
        <v>24.253823016670879</v>
      </c>
      <c r="I35" s="49">
        <f t="shared" si="2"/>
        <v>24.277479875710924</v>
      </c>
      <c r="J35" s="49">
        <f t="shared" si="2"/>
        <v>24.301137777518505</v>
      </c>
      <c r="K35" s="49">
        <f t="shared" si="2"/>
        <v>24.324795920449539</v>
      </c>
      <c r="L35" s="49">
        <f t="shared" si="2"/>
        <v>24.348454119152038</v>
      </c>
      <c r="M35" s="49">
        <f t="shared" si="2"/>
        <v>24.372112330767862</v>
      </c>
      <c r="N35" s="43"/>
      <c r="O35" s="51"/>
    </row>
    <row r="36" spans="1:15">
      <c r="A36" s="43" t="s">
        <v>212</v>
      </c>
      <c r="B36" s="49">
        <f t="shared" ref="B36:M36" si="3">B35*(1+$B$6)</f>
        <v>27.983167199999997</v>
      </c>
      <c r="C36" s="49">
        <f t="shared" si="3"/>
        <v>28.00031224105447</v>
      </c>
      <c r="D36" s="49">
        <f t="shared" si="3"/>
        <v>28.025374648667398</v>
      </c>
      <c r="E36" s="49">
        <f t="shared" si="3"/>
        <v>28.052267637112678</v>
      </c>
      <c r="F36" s="49">
        <f t="shared" si="3"/>
        <v>28.079583875699338</v>
      </c>
      <c r="G36" s="49">
        <f t="shared" si="3"/>
        <v>28.106997974345273</v>
      </c>
      <c r="H36" s="49">
        <f t="shared" si="3"/>
        <v>28.134434699338218</v>
      </c>
      <c r="I36" s="49">
        <f t="shared" si="3"/>
        <v>28.16187665582467</v>
      </c>
      <c r="J36" s="49">
        <f t="shared" si="3"/>
        <v>28.189319821921465</v>
      </c>
      <c r="K36" s="49">
        <f t="shared" si="3"/>
        <v>28.216763267721461</v>
      </c>
      <c r="L36" s="49">
        <f t="shared" si="3"/>
        <v>28.244206778216363</v>
      </c>
      <c r="M36" s="49">
        <f t="shared" si="3"/>
        <v>28.27165030369072</v>
      </c>
      <c r="N36" s="43"/>
      <c r="O36" s="51"/>
    </row>
    <row r="37" spans="1:15">
      <c r="A37" s="43" t="s">
        <v>203</v>
      </c>
      <c r="B37" s="49">
        <f t="shared" ref="B37:M37" si="4">$B$26</f>
        <v>17.945803086237156</v>
      </c>
      <c r="C37" s="49">
        <f t="shared" si="4"/>
        <v>17.945803086237156</v>
      </c>
      <c r="D37" s="49">
        <f t="shared" si="4"/>
        <v>17.945803086237156</v>
      </c>
      <c r="E37" s="49">
        <f t="shared" si="4"/>
        <v>17.945803086237156</v>
      </c>
      <c r="F37" s="49">
        <f t="shared" si="4"/>
        <v>17.945803086237156</v>
      </c>
      <c r="G37" s="49">
        <f t="shared" si="4"/>
        <v>17.945803086237156</v>
      </c>
      <c r="H37" s="49">
        <f t="shared" si="4"/>
        <v>17.945803086237156</v>
      </c>
      <c r="I37" s="49">
        <f t="shared" si="4"/>
        <v>17.945803086237156</v>
      </c>
      <c r="J37" s="49">
        <f t="shared" si="4"/>
        <v>17.945803086237156</v>
      </c>
      <c r="K37" s="49">
        <f t="shared" si="4"/>
        <v>17.945803086237156</v>
      </c>
      <c r="L37" s="49">
        <f t="shared" si="4"/>
        <v>17.945803086237156</v>
      </c>
      <c r="M37" s="49">
        <f t="shared" si="4"/>
        <v>17.945803086237156</v>
      </c>
      <c r="N37" s="43"/>
      <c r="O37" s="51"/>
    </row>
    <row r="38" spans="1:15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51"/>
    </row>
    <row r="39" spans="1:15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51"/>
    </row>
    <row r="40" spans="1:15" ht="26.4">
      <c r="A40" s="41" t="s">
        <v>213</v>
      </c>
      <c r="B40" s="41" t="s">
        <v>118</v>
      </c>
      <c r="C40" s="41" t="s">
        <v>106</v>
      </c>
      <c r="D40" s="41" t="s">
        <v>107</v>
      </c>
      <c r="E40" s="41" t="s">
        <v>108</v>
      </c>
      <c r="F40" s="41" t="s">
        <v>109</v>
      </c>
      <c r="G40" s="41" t="s">
        <v>110</v>
      </c>
      <c r="H40" s="43"/>
      <c r="I40" s="43"/>
      <c r="J40" s="43"/>
      <c r="K40" s="43"/>
      <c r="L40" s="43"/>
      <c r="M40" s="43"/>
      <c r="N40" s="43"/>
      <c r="O40" s="51"/>
    </row>
    <row r="41" spans="1:15">
      <c r="A41" s="43" t="s">
        <v>214</v>
      </c>
      <c r="B41" s="45">
        <v>0</v>
      </c>
      <c r="C41" s="45">
        <v>1.81</v>
      </c>
      <c r="D41" s="45">
        <v>2.38</v>
      </c>
      <c r="E41" s="45">
        <v>3.25</v>
      </c>
      <c r="F41" s="45">
        <v>5.5789999999999997</v>
      </c>
      <c r="G41" s="45">
        <v>7.16</v>
      </c>
      <c r="H41" s="43"/>
      <c r="I41" s="43"/>
      <c r="J41" s="43"/>
      <c r="K41" s="43"/>
      <c r="L41" s="43"/>
      <c r="M41" s="43"/>
      <c r="N41" s="43"/>
      <c r="O41" s="51"/>
    </row>
    <row r="42" spans="1:15">
      <c r="A42" s="43" t="s">
        <v>215</v>
      </c>
      <c r="B42" s="46">
        <v>0</v>
      </c>
      <c r="C42" s="46">
        <v>0.26900000000000002</v>
      </c>
      <c r="D42" s="46">
        <v>0.28000000000000003</v>
      </c>
      <c r="E42" s="46">
        <v>0.28000000000000003</v>
      </c>
      <c r="F42" s="46">
        <v>0.57999999999999996</v>
      </c>
      <c r="G42" s="46">
        <v>0.59</v>
      </c>
      <c r="H42" s="43"/>
      <c r="I42" s="43"/>
      <c r="J42" s="43"/>
      <c r="K42" s="43"/>
      <c r="L42" s="43"/>
      <c r="M42" s="43"/>
      <c r="N42" s="43"/>
      <c r="O42" s="51"/>
    </row>
    <row r="43" spans="1:15">
      <c r="A43" s="43" t="s">
        <v>216</v>
      </c>
      <c r="B43" s="46">
        <v>1</v>
      </c>
      <c r="C43" s="46">
        <v>0.73099999999999998</v>
      </c>
      <c r="D43" s="46">
        <v>0.72</v>
      </c>
      <c r="E43" s="46">
        <v>0.72</v>
      </c>
      <c r="F43" s="46">
        <v>0.42</v>
      </c>
      <c r="G43" s="46">
        <v>0.41</v>
      </c>
      <c r="H43" s="43"/>
      <c r="I43" s="43"/>
      <c r="J43" s="43"/>
      <c r="K43" s="43"/>
      <c r="L43" s="43"/>
      <c r="M43" s="43"/>
      <c r="N43" s="43"/>
      <c r="O43" s="51"/>
    </row>
    <row r="44" spans="1:1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51"/>
    </row>
    <row r="45" spans="1:1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51"/>
    </row>
    <row r="46" spans="1:15" ht="26.4">
      <c r="A46" s="41" t="s">
        <v>217</v>
      </c>
      <c r="B46" s="41"/>
      <c r="C46" s="41"/>
      <c r="D46" s="41"/>
      <c r="E46" s="41"/>
      <c r="F46" s="41"/>
      <c r="G46" s="41"/>
      <c r="H46" s="43"/>
      <c r="I46" s="43"/>
      <c r="J46" s="43"/>
      <c r="K46" s="43"/>
      <c r="L46" s="43"/>
      <c r="M46" s="43"/>
      <c r="N46" s="43"/>
      <c r="O46" s="51"/>
    </row>
    <row r="47" spans="1:15">
      <c r="A47" s="44" t="s">
        <v>45</v>
      </c>
      <c r="B47" s="44" t="s">
        <v>118</v>
      </c>
      <c r="C47" s="44" t="s">
        <v>106</v>
      </c>
      <c r="D47" s="44" t="s">
        <v>107</v>
      </c>
      <c r="E47" s="44" t="s">
        <v>108</v>
      </c>
      <c r="F47" s="44" t="s">
        <v>109</v>
      </c>
      <c r="G47" s="44" t="s">
        <v>110</v>
      </c>
      <c r="H47" s="43"/>
      <c r="I47" s="43"/>
      <c r="J47" s="43"/>
      <c r="K47" s="43"/>
      <c r="L47" s="43"/>
      <c r="M47" s="43"/>
      <c r="N47" s="43"/>
      <c r="O47" s="51"/>
    </row>
    <row r="48" spans="1:15">
      <c r="A48" s="43" t="s">
        <v>53</v>
      </c>
      <c r="B48" s="49">
        <f t="shared" ref="B48:G59" si="5">ROUND((($B$26*$B$5)+((INDEX($B$36:$M$36,1,ROW()-47)*$B$5)-($B$7*(INDEX($B$35:$M$35,1,ROW()-47)*$B$5)*B$42)))/B$43*B$41/1000,6)</f>
        <v>0</v>
      </c>
      <c r="C48" s="49">
        <f>ROUND((($B$26*$B$5)+((INDEX($B$36:$M$36,1,ROW()-47)*$B$5)-($B$7*(INDEX($B$35:$M$35,1,ROW()-47)*$B$5)*C$42)))/C$43*C$41/1000,6)</f>
        <v>1.91238</v>
      </c>
      <c r="D48" s="49">
        <f t="shared" si="5"/>
        <v>2.5372469999999998</v>
      </c>
      <c r="E48" s="49">
        <f t="shared" si="5"/>
        <v>3.464728</v>
      </c>
      <c r="F48" s="49">
        <f t="shared" si="5"/>
        <v>8.4650590000000001</v>
      </c>
      <c r="G48" s="49">
        <f t="shared" si="5"/>
        <v>11.053046</v>
      </c>
      <c r="H48" s="43"/>
      <c r="I48" s="43"/>
      <c r="J48" s="43"/>
      <c r="K48" s="43"/>
      <c r="L48" s="43"/>
      <c r="M48" s="43"/>
      <c r="N48" s="43"/>
      <c r="O48" s="51"/>
    </row>
    <row r="49" spans="1:15">
      <c r="A49" s="43" t="s">
        <v>55</v>
      </c>
      <c r="B49" s="49">
        <f t="shared" si="5"/>
        <v>0</v>
      </c>
      <c r="C49" s="49">
        <f t="shared" si="5"/>
        <v>1.913025</v>
      </c>
      <c r="D49" s="49">
        <f t="shared" si="5"/>
        <v>2.5380980000000002</v>
      </c>
      <c r="E49" s="49">
        <f t="shared" si="5"/>
        <v>3.4658890000000002</v>
      </c>
      <c r="F49" s="49">
        <f t="shared" si="5"/>
        <v>8.4674180000000003</v>
      </c>
      <c r="G49" s="49">
        <f t="shared" si="5"/>
        <v>11.056101</v>
      </c>
      <c r="H49" s="43"/>
      <c r="I49" s="43"/>
      <c r="J49" s="43"/>
      <c r="K49" s="43"/>
      <c r="L49" s="43"/>
      <c r="M49" s="43"/>
      <c r="N49" s="43"/>
      <c r="O49" s="51"/>
    </row>
    <row r="50" spans="1:15">
      <c r="A50" s="43" t="s">
        <v>57</v>
      </c>
      <c r="B50" s="49">
        <f t="shared" si="5"/>
        <v>0</v>
      </c>
      <c r="C50" s="49">
        <f t="shared" si="5"/>
        <v>1.913967</v>
      </c>
      <c r="D50" s="49">
        <f t="shared" si="5"/>
        <v>2.5393409999999998</v>
      </c>
      <c r="E50" s="49">
        <f t="shared" si="5"/>
        <v>3.4675880000000001</v>
      </c>
      <c r="F50" s="49">
        <f t="shared" si="5"/>
        <v>8.4708659999999991</v>
      </c>
      <c r="G50" s="49">
        <f t="shared" si="5"/>
        <v>11.060566</v>
      </c>
      <c r="H50" s="43"/>
      <c r="I50" s="43"/>
      <c r="J50" s="43"/>
      <c r="K50" s="43"/>
      <c r="L50" s="43"/>
      <c r="M50" s="43"/>
      <c r="N50" s="43"/>
      <c r="O50" s="51"/>
    </row>
    <row r="51" spans="1:15">
      <c r="A51" s="43" t="s">
        <v>59</v>
      </c>
      <c r="B51" s="49">
        <f t="shared" si="5"/>
        <v>0</v>
      </c>
      <c r="C51" s="49">
        <f t="shared" si="5"/>
        <v>1.9149780000000001</v>
      </c>
      <c r="D51" s="49">
        <f t="shared" si="5"/>
        <v>2.5406759999999999</v>
      </c>
      <c r="E51" s="49">
        <f t="shared" si="5"/>
        <v>3.469411</v>
      </c>
      <c r="F51" s="49">
        <f t="shared" si="5"/>
        <v>8.4745659999999994</v>
      </c>
      <c r="G51" s="49">
        <f t="shared" si="5"/>
        <v>11.065358</v>
      </c>
      <c r="H51" s="43"/>
      <c r="I51" s="43"/>
      <c r="J51" s="43"/>
      <c r="K51" s="43"/>
      <c r="L51" s="43"/>
      <c r="M51" s="43"/>
      <c r="N51" s="43"/>
      <c r="O51" s="51"/>
    </row>
    <row r="52" spans="1:15">
      <c r="A52" s="43" t="s">
        <v>61</v>
      </c>
      <c r="B52" s="49">
        <f t="shared" si="5"/>
        <v>0</v>
      </c>
      <c r="C52" s="49">
        <f t="shared" si="5"/>
        <v>1.9160060000000001</v>
      </c>
      <c r="D52" s="49">
        <f t="shared" si="5"/>
        <v>2.5420319999999998</v>
      </c>
      <c r="E52" s="49">
        <f t="shared" si="5"/>
        <v>3.4712619999999998</v>
      </c>
      <c r="F52" s="49">
        <f t="shared" si="5"/>
        <v>8.4783249999999999</v>
      </c>
      <c r="G52" s="49">
        <f t="shared" si="5"/>
        <v>11.070225000000001</v>
      </c>
      <c r="H52" s="43"/>
      <c r="I52" s="43"/>
      <c r="J52" s="43"/>
      <c r="K52" s="43"/>
      <c r="L52" s="43"/>
      <c r="M52" s="43"/>
      <c r="N52" s="43"/>
      <c r="O52" s="51"/>
    </row>
    <row r="53" spans="1:15">
      <c r="A53" s="43" t="s">
        <v>65</v>
      </c>
      <c r="B53" s="49">
        <f t="shared" si="5"/>
        <v>0</v>
      </c>
      <c r="C53" s="49">
        <f t="shared" si="5"/>
        <v>1.917036</v>
      </c>
      <c r="D53" s="49">
        <f t="shared" si="5"/>
        <v>2.5433919999999999</v>
      </c>
      <c r="E53" s="49">
        <f t="shared" si="5"/>
        <v>3.4731200000000002</v>
      </c>
      <c r="F53" s="49">
        <f t="shared" si="5"/>
        <v>8.4820960000000003</v>
      </c>
      <c r="G53" s="49">
        <f t="shared" si="5"/>
        <v>11.075108999999999</v>
      </c>
      <c r="H53" s="43"/>
      <c r="I53" s="43"/>
      <c r="J53" s="43"/>
      <c r="K53" s="43"/>
      <c r="L53" s="43"/>
      <c r="M53" s="43"/>
      <c r="N53" s="43"/>
      <c r="O53" s="51"/>
    </row>
    <row r="54" spans="1:15">
      <c r="A54" s="43" t="s">
        <v>68</v>
      </c>
      <c r="B54" s="49">
        <f t="shared" si="5"/>
        <v>0</v>
      </c>
      <c r="C54" s="49">
        <f t="shared" si="5"/>
        <v>1.9180680000000001</v>
      </c>
      <c r="D54" s="49">
        <f t="shared" si="5"/>
        <v>2.5447540000000002</v>
      </c>
      <c r="E54" s="49">
        <f t="shared" si="5"/>
        <v>3.4749789999999998</v>
      </c>
      <c r="F54" s="49">
        <f t="shared" si="5"/>
        <v>8.4858709999999995</v>
      </c>
      <c r="G54" s="49">
        <f t="shared" si="5"/>
        <v>11.079997000000001</v>
      </c>
      <c r="H54" s="43"/>
      <c r="I54" s="43"/>
      <c r="J54" s="43"/>
      <c r="K54" s="43"/>
      <c r="L54" s="43"/>
      <c r="M54" s="43"/>
      <c r="N54" s="43"/>
      <c r="O54" s="51"/>
    </row>
    <row r="55" spans="1:15">
      <c r="A55" s="43" t="s">
        <v>70</v>
      </c>
      <c r="B55" s="49">
        <f t="shared" si="5"/>
        <v>0</v>
      </c>
      <c r="C55" s="49">
        <f t="shared" si="5"/>
        <v>1.9191</v>
      </c>
      <c r="D55" s="49">
        <f t="shared" si="5"/>
        <v>2.546116</v>
      </c>
      <c r="E55" s="49">
        <f t="shared" si="5"/>
        <v>3.476839</v>
      </c>
      <c r="F55" s="49">
        <f t="shared" si="5"/>
        <v>8.4896469999999997</v>
      </c>
      <c r="G55" s="49">
        <f t="shared" si="5"/>
        <v>11.084887</v>
      </c>
      <c r="H55" s="43"/>
      <c r="I55" s="43"/>
      <c r="J55" s="43"/>
      <c r="K55" s="43"/>
      <c r="L55" s="43"/>
      <c r="M55" s="43"/>
      <c r="N55" s="43"/>
      <c r="O55" s="51"/>
    </row>
    <row r="56" spans="1:15">
      <c r="A56" s="43" t="s">
        <v>73</v>
      </c>
      <c r="B56" s="49">
        <f t="shared" si="5"/>
        <v>0</v>
      </c>
      <c r="C56" s="49">
        <f t="shared" si="5"/>
        <v>1.920131</v>
      </c>
      <c r="D56" s="49">
        <f t="shared" si="5"/>
        <v>2.5474779999999999</v>
      </c>
      <c r="E56" s="49">
        <f t="shared" si="5"/>
        <v>3.4786990000000002</v>
      </c>
      <c r="F56" s="49">
        <f t="shared" si="5"/>
        <v>8.4934220000000007</v>
      </c>
      <c r="G56" s="49">
        <f t="shared" si="5"/>
        <v>11.089776000000001</v>
      </c>
      <c r="H56" s="43"/>
      <c r="I56" s="43"/>
      <c r="J56" s="43"/>
      <c r="K56" s="43"/>
      <c r="L56" s="43"/>
      <c r="M56" s="43"/>
      <c r="N56" s="43"/>
      <c r="O56" s="51"/>
    </row>
    <row r="57" spans="1:15">
      <c r="A57" s="43" t="s">
        <v>76</v>
      </c>
      <c r="B57" s="49">
        <f t="shared" si="5"/>
        <v>0</v>
      </c>
      <c r="C57" s="49">
        <f t="shared" si="5"/>
        <v>1.921163</v>
      </c>
      <c r="D57" s="49">
        <f t="shared" si="5"/>
        <v>2.5488400000000002</v>
      </c>
      <c r="E57" s="49">
        <f t="shared" si="5"/>
        <v>3.480559</v>
      </c>
      <c r="F57" s="49">
        <f t="shared" si="5"/>
        <v>8.4971979999999991</v>
      </c>
      <c r="G57" s="49">
        <f t="shared" si="5"/>
        <v>11.094666</v>
      </c>
      <c r="H57" s="43"/>
      <c r="I57" s="43"/>
      <c r="J57" s="43"/>
      <c r="K57" s="43"/>
      <c r="L57" s="43"/>
      <c r="M57" s="43"/>
      <c r="N57" s="43"/>
      <c r="O57" s="51"/>
    </row>
    <row r="58" spans="1:15">
      <c r="A58" s="43" t="s">
        <v>78</v>
      </c>
      <c r="B58" s="49">
        <f t="shared" si="5"/>
        <v>0</v>
      </c>
      <c r="C58" s="49">
        <f t="shared" si="5"/>
        <v>1.9221950000000001</v>
      </c>
      <c r="D58" s="49">
        <f t="shared" si="5"/>
        <v>2.5502020000000001</v>
      </c>
      <c r="E58" s="49">
        <f t="shared" si="5"/>
        <v>3.4824190000000002</v>
      </c>
      <c r="F58" s="49">
        <f t="shared" si="5"/>
        <v>8.5009739999999994</v>
      </c>
      <c r="G58" s="49">
        <f t="shared" si="5"/>
        <v>11.099555000000001</v>
      </c>
      <c r="H58" s="43"/>
      <c r="I58" s="43"/>
      <c r="J58" s="43"/>
      <c r="K58" s="43"/>
      <c r="L58" s="43"/>
      <c r="M58" s="43"/>
      <c r="N58" s="43"/>
      <c r="O58" s="51"/>
    </row>
    <row r="59" spans="1:15">
      <c r="A59" s="43" t="s">
        <v>81</v>
      </c>
      <c r="B59" s="49">
        <f t="shared" si="5"/>
        <v>0</v>
      </c>
      <c r="C59" s="49">
        <f t="shared" si="5"/>
        <v>1.923227</v>
      </c>
      <c r="D59" s="49">
        <f t="shared" si="5"/>
        <v>2.5515639999999999</v>
      </c>
      <c r="E59" s="49">
        <f t="shared" si="5"/>
        <v>3.4842780000000002</v>
      </c>
      <c r="F59" s="49">
        <f t="shared" si="5"/>
        <v>8.5047499999999996</v>
      </c>
      <c r="G59" s="49">
        <f t="shared" si="5"/>
        <v>11.104445</v>
      </c>
      <c r="H59" s="43"/>
      <c r="I59" s="43"/>
      <c r="J59" s="43"/>
      <c r="K59" s="43"/>
      <c r="L59" s="43"/>
      <c r="M59" s="43"/>
      <c r="N59" s="43"/>
      <c r="O59" s="51"/>
    </row>
    <row r="60" spans="1:15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51"/>
    </row>
    <row r="61" spans="1:15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1"/>
    </row>
    <row r="62" spans="1:15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</row>
    <row r="63" spans="1:15" ht="26.4">
      <c r="A63" s="59" t="s">
        <v>218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4"/>
    </row>
    <row r="64" spans="1:15">
      <c r="A64" s="44" t="s">
        <v>193</v>
      </c>
      <c r="B64" s="44" t="s">
        <v>163</v>
      </c>
      <c r="C64" s="44" t="s">
        <v>164</v>
      </c>
      <c r="D64" s="44" t="s">
        <v>165</v>
      </c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54"/>
    </row>
    <row r="65" spans="1:15">
      <c r="A65" s="43" t="s">
        <v>194</v>
      </c>
      <c r="B65" s="46">
        <v>0.65</v>
      </c>
      <c r="C65" s="43" t="s">
        <v>168</v>
      </c>
      <c r="D65" s="43" t="s">
        <v>195</v>
      </c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54"/>
    </row>
    <row r="66" spans="1:15">
      <c r="A66" s="43" t="s">
        <v>197</v>
      </c>
      <c r="B66" s="46">
        <v>0.1</v>
      </c>
      <c r="C66" s="43" t="s">
        <v>168</v>
      </c>
      <c r="D66" s="43" t="s">
        <v>195</v>
      </c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54"/>
    </row>
    <row r="67" spans="1:15">
      <c r="A67" s="43" t="s">
        <v>219</v>
      </c>
      <c r="B67" s="46">
        <v>0.25</v>
      </c>
      <c r="C67" s="43" t="s">
        <v>168</v>
      </c>
      <c r="D67" s="43" t="s">
        <v>195</v>
      </c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54"/>
    </row>
    <row r="68" spans="1:15">
      <c r="A68" s="43" t="s">
        <v>198</v>
      </c>
      <c r="B68" s="45">
        <v>0.188</v>
      </c>
      <c r="C68" s="43" t="s">
        <v>199</v>
      </c>
      <c r="D68" s="43" t="s">
        <v>195</v>
      </c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54"/>
    </row>
    <row r="69" spans="1:15">
      <c r="A69" s="43" t="s">
        <v>202</v>
      </c>
      <c r="B69" s="45">
        <v>1.05</v>
      </c>
      <c r="C69" s="43" t="s">
        <v>199</v>
      </c>
      <c r="D69" s="43" t="s">
        <v>195</v>
      </c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54"/>
    </row>
    <row r="70" spans="1:15">
      <c r="A70" s="43" t="s">
        <v>220</v>
      </c>
      <c r="B70" s="45">
        <v>0.35899999999999999</v>
      </c>
      <c r="C70" s="43" t="s">
        <v>199</v>
      </c>
      <c r="D70" s="43" t="s">
        <v>195</v>
      </c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54"/>
    </row>
    <row r="71" spans="1:15">
      <c r="A71" s="43" t="s">
        <v>203</v>
      </c>
      <c r="B71" s="45">
        <v>2.9245153936000001</v>
      </c>
      <c r="C71" s="43" t="s">
        <v>199</v>
      </c>
      <c r="D71" s="43" t="s">
        <v>169</v>
      </c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54"/>
    </row>
    <row r="72" spans="1:15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54"/>
    </row>
    <row r="73" spans="1:15">
      <c r="A73" s="44" t="s">
        <v>205</v>
      </c>
      <c r="B73" s="44" t="s">
        <v>176</v>
      </c>
      <c r="C73" s="44" t="s">
        <v>177</v>
      </c>
      <c r="D73" s="44" t="s">
        <v>178</v>
      </c>
      <c r="E73" s="44" t="s">
        <v>179</v>
      </c>
      <c r="F73" s="44" t="s">
        <v>180</v>
      </c>
      <c r="G73" s="44" t="s">
        <v>181</v>
      </c>
      <c r="H73" s="44" t="s">
        <v>182</v>
      </c>
      <c r="I73" s="44" t="s">
        <v>183</v>
      </c>
      <c r="J73" s="44" t="s">
        <v>184</v>
      </c>
      <c r="K73" s="44" t="s">
        <v>185</v>
      </c>
      <c r="L73" s="44" t="s">
        <v>186</v>
      </c>
      <c r="M73" s="44" t="s">
        <v>187</v>
      </c>
      <c r="N73" s="43"/>
      <c r="O73" s="54"/>
    </row>
    <row r="74" spans="1:15">
      <c r="A74" s="43" t="s">
        <v>221</v>
      </c>
      <c r="B74" s="49">
        <f>('METALES 2025 BUENO'!C$12+$B$68)*$B$65</f>
        <v>5.9091911668946508</v>
      </c>
      <c r="C74" s="49">
        <f>('METALES 2025 BUENO'!D$12+$B$68)*$B$65</f>
        <v>5.9193406204048413</v>
      </c>
      <c r="D74" s="49">
        <f>('METALES 2025 BUENO'!E$12+$B$68)*$B$65</f>
        <v>5.9343123079817541</v>
      </c>
      <c r="E74" s="49">
        <f>('METALES 2025 BUENO'!F$12+$B$68)*$B$65</f>
        <v>5.9503989482224986</v>
      </c>
      <c r="F74" s="49">
        <f>('METALES 2025 BUENO'!G$12+$B$68)*$B$65</f>
        <v>5.9667433775762104</v>
      </c>
      <c r="G74" s="49">
        <f>('METALES 2025 BUENO'!H$12+$B$68)*$B$65</f>
        <v>5.9831474105605702</v>
      </c>
      <c r="H74" s="49">
        <f>('METALES 2025 BUENO'!I$12+$B$68)*$B$65</f>
        <v>5.9995652245488884</v>
      </c>
      <c r="I74" s="49">
        <f>('METALES 2025 BUENO'!J$12+$B$68)*$B$65</f>
        <v>6.015986224854351</v>
      </c>
      <c r="J74" s="49">
        <f>('METALES 2025 BUENO'!K$12+$B$68)*$B$65</f>
        <v>6.032407961870792</v>
      </c>
      <c r="K74" s="49">
        <f>('METALES 2025 BUENO'!L$12+$B$68)*$B$65</f>
        <v>6.0488298692227795</v>
      </c>
      <c r="L74" s="49">
        <f>('METALES 2025 BUENO'!M$12+$B$68)*$B$65</f>
        <v>6.0652518159581863</v>
      </c>
      <c r="M74" s="49">
        <f>('METALES 2025 BUENO'!N$12+$B$68)*$B$65</f>
        <v>6.0816737717994664</v>
      </c>
      <c r="N74" s="43"/>
      <c r="O74" s="54"/>
    </row>
    <row r="75" spans="1:15">
      <c r="A75" s="43" t="s">
        <v>222</v>
      </c>
      <c r="B75" s="49">
        <f>('METALES 2025 BUENO'!C$14+$B$69)*$B$66</f>
        <v>1.6520519965098779</v>
      </c>
      <c r="C75" s="49">
        <f>('METALES 2025 BUENO'!D$14+$B$69)*$B$66</f>
        <v>1.6520519931292512</v>
      </c>
      <c r="D75" s="49">
        <f>('METALES 2025 BUENO'!E$14+$B$69)*$B$66</f>
        <v>1.6520519901928585</v>
      </c>
      <c r="E75" s="49">
        <f>('METALES 2025 BUENO'!F$14+$B$69)*$B$66</f>
        <v>1.6520519876423241</v>
      </c>
      <c r="F75" s="49">
        <f>('METALES 2025 BUENO'!G$14+$B$69)*$B$66</f>
        <v>1.6520519854269446</v>
      </c>
      <c r="G75" s="49">
        <f>('METALES 2025 BUENO'!H$14+$B$69)*$B$66</f>
        <v>1.6520519835026786</v>
      </c>
      <c r="H75" s="49">
        <f>('METALES 2025 BUENO'!I$14+$B$69)*$B$66</f>
        <v>1.6520519818312722</v>
      </c>
      <c r="I75" s="49">
        <f>('METALES 2025 BUENO'!J$14+$B$69)*$B$66</f>
        <v>1.652051980379498</v>
      </c>
      <c r="J75" s="49">
        <f>('METALES 2025 BUENO'!K$14+$B$69)*$B$66</f>
        <v>1.6520519791184953</v>
      </c>
      <c r="K75" s="49">
        <f>('METALES 2025 BUENO'!L$14+$B$69)*$B$66</f>
        <v>1.6520519780231955</v>
      </c>
      <c r="L75" s="49">
        <f>('METALES 2025 BUENO'!M$14+$B$69)*$B$66</f>
        <v>1.6520519770718243</v>
      </c>
      <c r="M75" s="49">
        <f>('METALES 2025 BUENO'!N$14+$B$69)*$B$66</f>
        <v>1.6520519762454684</v>
      </c>
      <c r="N75" s="43"/>
      <c r="O75" s="54"/>
    </row>
    <row r="76" spans="1:15">
      <c r="A76" s="43" t="s">
        <v>223</v>
      </c>
      <c r="B76" s="49">
        <f>('METALES 2025 BUENO'!C$15+$B$70)*$B$67</f>
        <v>0.8513909910510592</v>
      </c>
      <c r="C76" s="49">
        <f>('METALES 2025 BUENO'!D$15+$B$70)*$B$67</f>
        <v>0.85174792623035289</v>
      </c>
      <c r="D76" s="49">
        <f>('METALES 2025 BUENO'!E$15+$B$70)*$B$67</f>
        <v>0.85189105127374987</v>
      </c>
      <c r="E76" s="49">
        <f>('METALES 2025 BUENO'!F$15+$B$70)*$B$67</f>
        <v>0.85194844202488829</v>
      </c>
      <c r="F76" s="49">
        <f>('METALES 2025 BUENO'!G$15+$B$70)*$B$67</f>
        <v>0.8519714547572379</v>
      </c>
      <c r="G76" s="49">
        <f>('METALES 2025 BUENO'!H$15+$B$70)*$B$67</f>
        <v>0.85198068247842451</v>
      </c>
      <c r="H76" s="49">
        <f>('METALES 2025 BUENO'!I$15+$B$70)*$B$67</f>
        <v>0.85198438264044807</v>
      </c>
      <c r="I76" s="49">
        <f>('METALES 2025 BUENO'!J$15+$B$70)*$B$67</f>
        <v>0.85198586634359896</v>
      </c>
      <c r="J76" s="49">
        <f>('METALES 2025 BUENO'!K$15+$B$70)*$B$67</f>
        <v>0.85198646128377353</v>
      </c>
      <c r="K76" s="49">
        <f>('METALES 2025 BUENO'!L$15+$B$70)*$B$67</f>
        <v>0.85198669984484354</v>
      </c>
      <c r="L76" s="49">
        <f>('METALES 2025 BUENO'!M$15+$B$70)*$B$67</f>
        <v>0.85198679550384682</v>
      </c>
      <c r="M76" s="49">
        <f>('METALES 2025 BUENO'!N$15+$B$70)*$B$67</f>
        <v>0.85198683386150897</v>
      </c>
      <c r="N76" s="43"/>
      <c r="O76" s="54"/>
    </row>
    <row r="77" spans="1:15">
      <c r="A77" s="43" t="s">
        <v>211</v>
      </c>
      <c r="B77" s="49">
        <f t="shared" ref="B77:M77" si="6">SUM(B74:B76)</f>
        <v>8.4126341544555867</v>
      </c>
      <c r="C77" s="49">
        <f t="shared" si="6"/>
        <v>8.4231405397644448</v>
      </c>
      <c r="D77" s="49">
        <f t="shared" si="6"/>
        <v>8.4382553494483616</v>
      </c>
      <c r="E77" s="49">
        <f t="shared" si="6"/>
        <v>8.4543993778897111</v>
      </c>
      <c r="F77" s="49">
        <f t="shared" si="6"/>
        <v>8.4707668177603921</v>
      </c>
      <c r="G77" s="49">
        <f t="shared" si="6"/>
        <v>8.4871800765416729</v>
      </c>
      <c r="H77" s="49">
        <f t="shared" si="6"/>
        <v>8.503601589020608</v>
      </c>
      <c r="I77" s="49">
        <f t="shared" si="6"/>
        <v>8.5200240715774473</v>
      </c>
      <c r="J77" s="49">
        <f t="shared" si="6"/>
        <v>8.5364464022730608</v>
      </c>
      <c r="K77" s="49">
        <f t="shared" si="6"/>
        <v>8.552868547090819</v>
      </c>
      <c r="L77" s="49">
        <f t="shared" si="6"/>
        <v>8.5692905885338568</v>
      </c>
      <c r="M77" s="49">
        <f t="shared" si="6"/>
        <v>8.5857125819064439</v>
      </c>
      <c r="N77" s="43"/>
      <c r="O77" s="54"/>
    </row>
    <row r="78" spans="1:15">
      <c r="A78" s="43" t="s">
        <v>212</v>
      </c>
      <c r="B78" s="49">
        <f t="shared" ref="B78:M78" si="7">B77*(1+$B$6)</f>
        <v>9.7586556191684792</v>
      </c>
      <c r="C78" s="49">
        <f t="shared" si="7"/>
        <v>9.7708430261267551</v>
      </c>
      <c r="D78" s="49">
        <f t="shared" si="7"/>
        <v>9.7883762053600982</v>
      </c>
      <c r="E78" s="49">
        <f t="shared" si="7"/>
        <v>9.8071032783520646</v>
      </c>
      <c r="F78" s="49">
        <f t="shared" si="7"/>
        <v>9.8260895086020543</v>
      </c>
      <c r="G78" s="49">
        <f t="shared" si="7"/>
        <v>9.8451288887883397</v>
      </c>
      <c r="H78" s="49">
        <f t="shared" si="7"/>
        <v>9.8641778432639047</v>
      </c>
      <c r="I78" s="49">
        <f t="shared" si="7"/>
        <v>9.883227923029839</v>
      </c>
      <c r="J78" s="49">
        <f t="shared" si="7"/>
        <v>9.9022778266367499</v>
      </c>
      <c r="K78" s="49">
        <f t="shared" si="7"/>
        <v>9.9213275146253501</v>
      </c>
      <c r="L78" s="49">
        <f t="shared" si="7"/>
        <v>9.940377082699273</v>
      </c>
      <c r="M78" s="49">
        <f t="shared" si="7"/>
        <v>9.9594265950114735</v>
      </c>
      <c r="N78" s="43"/>
      <c r="O78" s="54"/>
    </row>
    <row r="79" spans="1:15">
      <c r="A79" s="43" t="s">
        <v>203</v>
      </c>
      <c r="B79" s="49">
        <f t="shared" ref="B79:M79" si="8">$B$71</f>
        <v>2.9245153936000001</v>
      </c>
      <c r="C79" s="49">
        <f t="shared" si="8"/>
        <v>2.9245153936000001</v>
      </c>
      <c r="D79" s="49">
        <f t="shared" si="8"/>
        <v>2.9245153936000001</v>
      </c>
      <c r="E79" s="49">
        <f t="shared" si="8"/>
        <v>2.9245153936000001</v>
      </c>
      <c r="F79" s="49">
        <f t="shared" si="8"/>
        <v>2.9245153936000001</v>
      </c>
      <c r="G79" s="49">
        <f t="shared" si="8"/>
        <v>2.9245153936000001</v>
      </c>
      <c r="H79" s="49">
        <f t="shared" si="8"/>
        <v>2.9245153936000001</v>
      </c>
      <c r="I79" s="49">
        <f t="shared" si="8"/>
        <v>2.9245153936000001</v>
      </c>
      <c r="J79" s="49">
        <f t="shared" si="8"/>
        <v>2.9245153936000001</v>
      </c>
      <c r="K79" s="49">
        <f t="shared" si="8"/>
        <v>2.9245153936000001</v>
      </c>
      <c r="L79" s="49">
        <f t="shared" si="8"/>
        <v>2.9245153936000001</v>
      </c>
      <c r="M79" s="49">
        <f t="shared" si="8"/>
        <v>2.9245153936000001</v>
      </c>
      <c r="N79" s="43"/>
      <c r="O79" s="54"/>
    </row>
    <row r="80" spans="1:1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54"/>
    </row>
    <row r="81" spans="1:1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54"/>
    </row>
    <row r="82" spans="1:15" ht="26.4">
      <c r="A82" s="41" t="s">
        <v>213</v>
      </c>
      <c r="B82" s="41" t="s">
        <v>118</v>
      </c>
      <c r="C82" s="41" t="s">
        <v>106</v>
      </c>
      <c r="D82" s="41" t="s">
        <v>107</v>
      </c>
      <c r="E82" s="41" t="s">
        <v>108</v>
      </c>
      <c r="F82" s="41" t="s">
        <v>109</v>
      </c>
      <c r="G82" s="41" t="s">
        <v>110</v>
      </c>
      <c r="H82" s="43"/>
      <c r="I82" s="43"/>
      <c r="J82" s="43"/>
      <c r="K82" s="43"/>
      <c r="L82" s="43"/>
      <c r="M82" s="43"/>
      <c r="N82" s="43"/>
      <c r="O82" s="54"/>
    </row>
    <row r="83" spans="1:15">
      <c r="A83" s="43" t="s">
        <v>214</v>
      </c>
      <c r="B83" s="45">
        <v>0</v>
      </c>
      <c r="C83" s="45">
        <v>0</v>
      </c>
      <c r="D83" s="45">
        <v>0</v>
      </c>
      <c r="E83" s="45">
        <v>0</v>
      </c>
      <c r="F83" s="45">
        <v>4.75</v>
      </c>
      <c r="G83" s="45">
        <v>5.51</v>
      </c>
      <c r="H83" s="43"/>
      <c r="I83" s="43"/>
      <c r="J83" s="43"/>
      <c r="K83" s="43"/>
      <c r="L83" s="43"/>
      <c r="M83" s="43"/>
      <c r="N83" s="43"/>
      <c r="O83" s="54"/>
    </row>
    <row r="84" spans="1:15">
      <c r="A84" s="43" t="s">
        <v>215</v>
      </c>
      <c r="B84" s="46">
        <v>0</v>
      </c>
      <c r="C84" s="46">
        <v>0</v>
      </c>
      <c r="D84" s="46">
        <v>0</v>
      </c>
      <c r="E84" s="46">
        <v>0</v>
      </c>
      <c r="F84" s="46">
        <v>0.28999999999999998</v>
      </c>
      <c r="G84" s="46">
        <v>0.28999999999999998</v>
      </c>
      <c r="H84" s="43"/>
      <c r="I84" s="43"/>
      <c r="J84" s="43"/>
      <c r="K84" s="43"/>
      <c r="L84" s="43"/>
      <c r="M84" s="43"/>
      <c r="N84" s="43"/>
      <c r="O84" s="54"/>
    </row>
    <row r="85" spans="1:15">
      <c r="A85" s="43" t="s">
        <v>216</v>
      </c>
      <c r="B85" s="46">
        <v>1</v>
      </c>
      <c r="C85" s="46">
        <v>1</v>
      </c>
      <c r="D85" s="46">
        <v>1</v>
      </c>
      <c r="E85" s="46">
        <v>1</v>
      </c>
      <c r="F85" s="46">
        <v>0.71</v>
      </c>
      <c r="G85" s="46">
        <v>0.71</v>
      </c>
      <c r="H85" s="43"/>
      <c r="I85" s="43"/>
      <c r="J85" s="43"/>
      <c r="K85" s="43"/>
      <c r="L85" s="43"/>
      <c r="M85" s="43"/>
      <c r="N85" s="43"/>
      <c r="O85" s="54"/>
    </row>
    <row r="86" spans="1:15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54"/>
    </row>
    <row r="87" spans="1:15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54"/>
    </row>
    <row r="88" spans="1:15" ht="26.4">
      <c r="A88" s="41" t="s">
        <v>224</v>
      </c>
      <c r="B88" s="41"/>
      <c r="C88" s="41"/>
      <c r="D88" s="41"/>
      <c r="E88" s="41"/>
      <c r="F88" s="41"/>
      <c r="G88" s="41"/>
      <c r="H88" s="43"/>
      <c r="I88" s="43"/>
      <c r="J88" s="43"/>
      <c r="K88" s="43"/>
      <c r="L88" s="43"/>
      <c r="M88" s="43"/>
      <c r="N88" s="43"/>
      <c r="O88" s="54"/>
    </row>
    <row r="89" spans="1:15">
      <c r="A89" s="44" t="s">
        <v>45</v>
      </c>
      <c r="B89" s="44" t="s">
        <v>118</v>
      </c>
      <c r="C89" s="44" t="s">
        <v>106</v>
      </c>
      <c r="D89" s="44" t="s">
        <v>107</v>
      </c>
      <c r="E89" s="44" t="s">
        <v>108</v>
      </c>
      <c r="F89" s="44" t="s">
        <v>109</v>
      </c>
      <c r="G89" s="44" t="s">
        <v>110</v>
      </c>
      <c r="H89" s="43"/>
      <c r="I89" s="43"/>
      <c r="J89" s="43"/>
      <c r="K89" s="43"/>
      <c r="L89" s="43"/>
      <c r="M89" s="43"/>
      <c r="N89" s="43"/>
      <c r="O89" s="54"/>
    </row>
    <row r="90" spans="1:15">
      <c r="A90" s="43" t="s">
        <v>53</v>
      </c>
      <c r="B90" s="49">
        <f t="shared" ref="B90:E100" si="9">ROUND((($B$71*$B$5)+((INDEX($B$78:$M$78,1,ROW()-88)*$B$5)-($B$7*(INDEX($B$77:$M$77,1,ROW()-88)*$B$5)*B$84)))/B$85*B$83/1000,6)</f>
        <v>0</v>
      </c>
      <c r="C90" s="49">
        <f t="shared" si="9"/>
        <v>0</v>
      </c>
      <c r="D90" s="49">
        <f t="shared" si="9"/>
        <v>0</v>
      </c>
      <c r="E90" s="49">
        <f t="shared" si="9"/>
        <v>0</v>
      </c>
      <c r="F90" s="49" cm="1">
        <f t="array" ref="F90">ROUND((($B$71*$B$5)+((INDEX($B$78:$M$78,1,ROWS($A$90:A90))*$B$5)-($B$7*(INDEX($B$77:$M$77,1,ROWS($A$90:A90))*$B$5)*F$84)))/F$85*F$83/1000,6)</f>
        <v>1.34887</v>
      </c>
      <c r="G90" s="49" cm="1">
        <f t="array" ref="G90">ROUND((($B$71*$B$5)+((INDEX($B$78:$M$78,1,ROWS($A$90:A90))*$B$5)-($B$7*(INDEX($B$77:$M$77,1,ROWS($A$90:A90))*$B$5)*G$84)))/G$85*G$83/1000,6)</f>
        <v>1.564689</v>
      </c>
      <c r="H90" s="43"/>
      <c r="I90" s="43"/>
      <c r="J90" s="43"/>
      <c r="K90" s="43"/>
      <c r="L90" s="43"/>
      <c r="M90" s="43"/>
      <c r="N90" s="43"/>
      <c r="O90" s="54"/>
    </row>
    <row r="91" spans="1:15">
      <c r="A91" s="43" t="s">
        <v>55</v>
      </c>
      <c r="B91" s="49">
        <f t="shared" si="9"/>
        <v>0</v>
      </c>
      <c r="C91" s="49">
        <f t="shared" si="9"/>
        <v>0</v>
      </c>
      <c r="D91" s="49">
        <f t="shared" si="9"/>
        <v>0</v>
      </c>
      <c r="E91" s="49">
        <f t="shared" si="9"/>
        <v>0</v>
      </c>
      <c r="F91" s="49" cm="1">
        <f t="array" ref="F91">ROUND((($B$71*$B$5)+((INDEX($B$78:$M$78,1,ROWS($A$90:A91))*$B$5)-($B$7*(INDEX($B$77:$M$77,1,ROWS($A$90:A91))*$B$5)*F$84)))/F$85*F$83/1000,6)</f>
        <v>1.3500810000000001</v>
      </c>
      <c r="G91" s="49" cm="1">
        <f t="array" ref="G91">ROUND((($B$71*$B$5)+((INDEX($B$78:$M$78,1,ROWS($A$90:A91))*$B$5)-($B$7*(INDEX($B$77:$M$77,1,ROWS($A$90:A91))*$B$5)*G$84)))/G$85*G$83/1000,6)</f>
        <v>1.5660940000000001</v>
      </c>
      <c r="H91" s="43"/>
      <c r="I91" s="43"/>
      <c r="J91" s="43"/>
      <c r="K91" s="43"/>
      <c r="L91" s="43"/>
      <c r="M91" s="43"/>
      <c r="N91" s="43"/>
      <c r="O91" s="54"/>
    </row>
    <row r="92" spans="1:15">
      <c r="A92" s="43" t="s">
        <v>57</v>
      </c>
      <c r="B92" s="49">
        <f t="shared" si="9"/>
        <v>0</v>
      </c>
      <c r="C92" s="49">
        <f t="shared" si="9"/>
        <v>0</v>
      </c>
      <c r="D92" s="49">
        <f t="shared" si="9"/>
        <v>0</v>
      </c>
      <c r="E92" s="49">
        <f t="shared" si="9"/>
        <v>0</v>
      </c>
      <c r="F92" s="49" cm="1">
        <f t="array" ref="F92">ROUND((($B$71*$B$5)+((INDEX($B$78:$M$78,1,ROWS($A$90:A92))*$B$5)-($B$7*(INDEX($B$77:$M$77,1,ROWS($A$90:A92))*$B$5)*F$84)))/F$85*F$83/1000,6)</f>
        <v>1.3518239999999999</v>
      </c>
      <c r="G92" s="49" cm="1">
        <f t="array" ref="G92">ROUND((($B$71*$B$5)+((INDEX($B$78:$M$78,1,ROWS($A$90:A92))*$B$5)-($B$7*(INDEX($B$77:$M$77,1,ROWS($A$90:A92))*$B$5)*G$84)))/G$85*G$83/1000,6)</f>
        <v>1.5681160000000001</v>
      </c>
      <c r="H92" s="43"/>
      <c r="I92" s="43"/>
      <c r="J92" s="43"/>
      <c r="K92" s="43"/>
      <c r="L92" s="43"/>
      <c r="M92" s="43"/>
      <c r="N92" s="43"/>
      <c r="O92" s="54"/>
    </row>
    <row r="93" spans="1:15">
      <c r="A93" s="43" t="s">
        <v>59</v>
      </c>
      <c r="B93" s="49">
        <f t="shared" si="9"/>
        <v>0</v>
      </c>
      <c r="C93" s="49">
        <f t="shared" si="9"/>
        <v>0</v>
      </c>
      <c r="D93" s="49">
        <f t="shared" si="9"/>
        <v>0</v>
      </c>
      <c r="E93" s="49">
        <f t="shared" si="9"/>
        <v>0</v>
      </c>
      <c r="F93" s="49" cm="1">
        <f t="array" ref="F93">ROUND((($B$71*$B$5)+((INDEX($B$78:$M$78,1,ROWS($A$90:A93))*$B$5)-($B$7*(INDEX($B$77:$M$77,1,ROWS($A$90:A93))*$B$5)*F$84)))/F$85*F$83/1000,6)</f>
        <v>1.3536859999999999</v>
      </c>
      <c r="G93" s="49" cm="1">
        <f t="array" ref="G93">ROUND((($B$71*$B$5)+((INDEX($B$78:$M$78,1,ROWS($A$90:A93))*$B$5)-($B$7*(INDEX($B$77:$M$77,1,ROWS($A$90:A93))*$B$5)*G$84)))/G$85*G$83/1000,6)</f>
        <v>1.570276</v>
      </c>
      <c r="H93" s="43"/>
      <c r="I93" s="43"/>
      <c r="J93" s="43"/>
      <c r="K93" s="43"/>
      <c r="L93" s="43"/>
      <c r="M93" s="43"/>
      <c r="N93" s="43"/>
      <c r="O93" s="54"/>
    </row>
    <row r="94" spans="1:15">
      <c r="A94" s="43" t="s">
        <v>61</v>
      </c>
      <c r="B94" s="49">
        <f t="shared" si="9"/>
        <v>0</v>
      </c>
      <c r="C94" s="49">
        <f t="shared" si="9"/>
        <v>0</v>
      </c>
      <c r="D94" s="49">
        <f t="shared" si="9"/>
        <v>0</v>
      </c>
      <c r="E94" s="49">
        <f t="shared" si="9"/>
        <v>0</v>
      </c>
      <c r="F94" s="49" cm="1">
        <f t="array" ref="F94">ROUND((($B$71*$B$5)+((INDEX($B$78:$M$78,1,ROWS($A$90:A94))*$B$5)-($B$7*(INDEX($B$77:$M$77,1,ROWS($A$90:A94))*$B$5)*F$84)))/F$85*F$83/1000,6)</f>
        <v>1.3555729999999999</v>
      </c>
      <c r="G94" s="49" cm="1">
        <f t="array" ref="G94">ROUND((($B$71*$B$5)+((INDEX($B$78:$M$78,1,ROWS($A$90:A94))*$B$5)-($B$7*(INDEX($B$77:$M$77,1,ROWS($A$90:A94))*$B$5)*G$84)))/G$85*G$83/1000,6)</f>
        <v>1.572465</v>
      </c>
      <c r="H94" s="43"/>
      <c r="I94" s="43"/>
      <c r="J94" s="43"/>
      <c r="K94" s="43"/>
      <c r="L94" s="43"/>
      <c r="M94" s="43"/>
      <c r="N94" s="43"/>
      <c r="O94" s="54"/>
    </row>
    <row r="95" spans="1:15">
      <c r="A95" s="43" t="s">
        <v>65</v>
      </c>
      <c r="B95" s="49">
        <f t="shared" si="9"/>
        <v>0</v>
      </c>
      <c r="C95" s="49">
        <f t="shared" si="9"/>
        <v>0</v>
      </c>
      <c r="D95" s="49">
        <f t="shared" si="9"/>
        <v>0</v>
      </c>
      <c r="E95" s="49">
        <f t="shared" si="9"/>
        <v>0</v>
      </c>
      <c r="F95" s="49" cm="1">
        <f t="array" ref="F95">ROUND((($B$71*$B$5)+((INDEX($B$78:$M$78,1,ROWS($A$90:A95))*$B$5)-($B$7*(INDEX($B$77:$M$77,1,ROWS($A$90:A95))*$B$5)*F$84)))/F$85*F$83/1000,6)</f>
        <v>1.3574660000000001</v>
      </c>
      <c r="G95" s="49" cm="1">
        <f t="array" ref="G95">ROUND((($B$71*$B$5)+((INDEX($B$78:$M$78,1,ROWS($A$90:A95))*$B$5)-($B$7*(INDEX($B$77:$M$77,1,ROWS($A$90:A95))*$B$5)*G$84)))/G$85*G$83/1000,6)</f>
        <v>1.5746599999999999</v>
      </c>
      <c r="H95" s="43"/>
      <c r="I95" s="43"/>
      <c r="J95" s="43"/>
      <c r="K95" s="43"/>
      <c r="L95" s="43"/>
      <c r="M95" s="43"/>
      <c r="N95" s="43"/>
      <c r="O95" s="54"/>
    </row>
    <row r="96" spans="1:15">
      <c r="A96" s="43" t="s">
        <v>68</v>
      </c>
      <c r="B96" s="49">
        <f t="shared" si="9"/>
        <v>0</v>
      </c>
      <c r="C96" s="49">
        <f t="shared" si="9"/>
        <v>0</v>
      </c>
      <c r="D96" s="49">
        <f t="shared" si="9"/>
        <v>0</v>
      </c>
      <c r="E96" s="49">
        <f t="shared" si="9"/>
        <v>0</v>
      </c>
      <c r="F96" s="49" cm="1">
        <f t="array" ref="F96">ROUND((($B$71*$B$5)+((INDEX($B$78:$M$78,1,ROWS($A$90:A96))*$B$5)-($B$7*(INDEX($B$77:$M$77,1,ROWS($A$90:A96))*$B$5)*F$84)))/F$85*F$83/1000,6)</f>
        <v>1.359359</v>
      </c>
      <c r="G96" s="49" cm="1">
        <f t="array" ref="G96">ROUND((($B$71*$B$5)+((INDEX($B$78:$M$78,1,ROWS($A$90:A96))*$B$5)-($B$7*(INDEX($B$77:$M$77,1,ROWS($A$90:A96))*$B$5)*G$84)))/G$85*G$83/1000,6)</f>
        <v>1.576857</v>
      </c>
      <c r="H96" s="43"/>
      <c r="I96" s="43"/>
      <c r="J96" s="43"/>
      <c r="K96" s="43"/>
      <c r="L96" s="43"/>
      <c r="M96" s="43"/>
      <c r="N96" s="43"/>
      <c r="O96" s="54"/>
    </row>
    <row r="97" spans="1:15">
      <c r="A97" s="43" t="s">
        <v>70</v>
      </c>
      <c r="B97" s="49">
        <f t="shared" si="9"/>
        <v>0</v>
      </c>
      <c r="C97" s="49">
        <f t="shared" si="9"/>
        <v>0</v>
      </c>
      <c r="D97" s="49">
        <f t="shared" si="9"/>
        <v>0</v>
      </c>
      <c r="E97" s="49">
        <f t="shared" si="9"/>
        <v>0</v>
      </c>
      <c r="F97" s="49" cm="1">
        <f t="array" ref="F97">ROUND((($B$71*$B$5)+((INDEX($B$78:$M$78,1,ROWS($A$90:A97))*$B$5)-($B$7*(INDEX($B$77:$M$77,1,ROWS($A$90:A97))*$B$5)*F$84)))/F$85*F$83/1000,6)</f>
        <v>1.361253</v>
      </c>
      <c r="G97" s="49" cm="1">
        <f t="array" ref="G97">ROUND((($B$71*$B$5)+((INDEX($B$78:$M$78,1,ROWS($A$90:A97))*$B$5)-($B$7*(INDEX($B$77:$M$77,1,ROWS($A$90:A97))*$B$5)*G$84)))/G$85*G$83/1000,6)</f>
        <v>1.579054</v>
      </c>
      <c r="H97" s="43"/>
      <c r="I97" s="43"/>
      <c r="J97" s="43"/>
      <c r="K97" s="43"/>
      <c r="L97" s="43"/>
      <c r="M97" s="43"/>
      <c r="N97" s="43"/>
      <c r="O97" s="54"/>
    </row>
    <row r="98" spans="1:15">
      <c r="A98" s="43" t="s">
        <v>73</v>
      </c>
      <c r="B98" s="49">
        <f t="shared" si="9"/>
        <v>0</v>
      </c>
      <c r="C98" s="49">
        <f t="shared" si="9"/>
        <v>0</v>
      </c>
      <c r="D98" s="49">
        <f t="shared" si="9"/>
        <v>0</v>
      </c>
      <c r="E98" s="49">
        <f t="shared" si="9"/>
        <v>0</v>
      </c>
      <c r="F98" s="49" cm="1">
        <f t="array" ref="F98">ROUND((($B$71*$B$5)+((INDEX($B$78:$M$78,1,ROWS($A$90:A98))*$B$5)-($B$7*(INDEX($B$77:$M$77,1,ROWS($A$90:A98))*$B$5)*F$84)))/F$85*F$83/1000,6)</f>
        <v>1.3631470000000001</v>
      </c>
      <c r="G98" s="49" cm="1">
        <f t="array" ref="G98">ROUND((($B$71*$B$5)+((INDEX($B$78:$M$78,1,ROWS($A$90:A98))*$B$5)-($B$7*(INDEX($B$77:$M$77,1,ROWS($A$90:A98))*$B$5)*G$84)))/G$85*G$83/1000,6)</f>
        <v>1.58125</v>
      </c>
      <c r="H98" s="43"/>
      <c r="I98" s="43"/>
      <c r="J98" s="43"/>
      <c r="K98" s="43"/>
      <c r="L98" s="43"/>
      <c r="M98" s="43"/>
      <c r="N98" s="43"/>
      <c r="O98" s="54"/>
    </row>
    <row r="99" spans="1:15">
      <c r="A99" s="43" t="s">
        <v>76</v>
      </c>
      <c r="B99" s="49">
        <f t="shared" si="9"/>
        <v>0</v>
      </c>
      <c r="C99" s="49">
        <f t="shared" si="9"/>
        <v>0</v>
      </c>
      <c r="D99" s="49">
        <f t="shared" si="9"/>
        <v>0</v>
      </c>
      <c r="E99" s="49">
        <f t="shared" si="9"/>
        <v>0</v>
      </c>
      <c r="F99" s="49" cm="1">
        <f t="array" ref="F99">ROUND((($B$71*$B$5)+((INDEX($B$78:$M$78,1,ROWS($A$90:A99))*$B$5)-($B$7*(INDEX($B$77:$M$77,1,ROWS($A$90:A99))*$B$5)*F$84)))/F$85*F$83/1000,6)</f>
        <v>1.3650409999999999</v>
      </c>
      <c r="G99" s="49" cm="1">
        <f t="array" ref="G99">ROUND((($B$71*$B$5)+((INDEX($B$78:$M$78,1,ROWS($A$90:A99))*$B$5)-($B$7*(INDEX($B$77:$M$77,1,ROWS($A$90:A99))*$B$5)*G$84)))/G$85*G$83/1000,6)</f>
        <v>1.583447</v>
      </c>
      <c r="H99" s="43"/>
      <c r="I99" s="43"/>
      <c r="J99" s="43"/>
      <c r="K99" s="43"/>
      <c r="L99" s="43"/>
      <c r="M99" s="43"/>
      <c r="N99" s="43"/>
      <c r="O99" s="54"/>
    </row>
    <row r="100" spans="1:15">
      <c r="A100" s="43" t="s">
        <v>78</v>
      </c>
      <c r="B100" s="49">
        <f t="shared" si="9"/>
        <v>0</v>
      </c>
      <c r="C100" s="49">
        <f t="shared" si="9"/>
        <v>0</v>
      </c>
      <c r="D100" s="49">
        <f t="shared" si="9"/>
        <v>0</v>
      </c>
      <c r="E100" s="49">
        <f t="shared" si="9"/>
        <v>0</v>
      </c>
      <c r="F100" s="49" cm="1">
        <f t="array" ref="F100">ROUND((($B$71*$B$5)+((INDEX($B$78:$M$78,1,ROWS($A$90:A100))*$B$5)-($B$7*(INDEX($B$77:$M$77,1,ROWS($A$90:A100))*$B$5)*F$84)))/F$85*F$83/1000,6)</f>
        <v>1.3669340000000001</v>
      </c>
      <c r="G100" s="49" cm="1">
        <f t="array" ref="G100">ROUND((($B$71*$B$5)+((INDEX($B$78:$M$78,1,ROWS($A$90:A100))*$B$5)-($B$7*(INDEX($B$77:$M$77,1,ROWS($A$90:A100))*$B$5)*G$84)))/G$85*G$83/1000,6)</f>
        <v>1.5856440000000001</v>
      </c>
      <c r="H100" s="43"/>
      <c r="I100" s="43"/>
      <c r="J100" s="43"/>
      <c r="K100" s="43"/>
      <c r="L100" s="43"/>
      <c r="M100" s="43"/>
      <c r="N100" s="43"/>
      <c r="O100" s="54"/>
    </row>
    <row r="101" spans="1:15">
      <c r="A101" s="43" t="s">
        <v>81</v>
      </c>
      <c r="B101" s="49">
        <v>0</v>
      </c>
      <c r="C101" s="49">
        <v>0</v>
      </c>
      <c r="D101" s="49">
        <v>0</v>
      </c>
      <c r="E101" s="49">
        <v>0</v>
      </c>
      <c r="F101" s="49" cm="1">
        <f t="array" ref="F101">ROUND((($B$71*$B$5)+((INDEX($B$78:$M$78,1,ROWS($A$90:A101))*$B$5)-($B$7*(INDEX($B$77:$M$77,1,ROWS($A$90:A101))*$B$5)*F$84)))/F$85*F$83/1000,6)</f>
        <v>1.3688279999999999</v>
      </c>
      <c r="G101" s="49" cm="1">
        <f t="array" ref="G101">ROUND((($B$71*$B$5)+((INDEX($B$78:$M$78,1,ROWS($A$90:A101))*$B$5)-($B$7*(INDEX($B$77:$M$77,1,ROWS($A$90:A101))*$B$5)*G$84)))/G$85*G$83/1000,6)</f>
        <v>1.5878399999999999</v>
      </c>
      <c r="H101" s="43"/>
      <c r="I101" s="43"/>
      <c r="J101" s="43"/>
      <c r="K101" s="43"/>
      <c r="L101" s="43"/>
      <c r="M101" s="43"/>
      <c r="N101" s="43"/>
      <c r="O101" s="54"/>
    </row>
    <row r="102" spans="1:15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54"/>
    </row>
    <row r="103" spans="1:1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4"/>
    </row>
    <row r="104" spans="1:15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</row>
    <row r="105" spans="1:1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7"/>
    </row>
    <row r="106" spans="1:15" ht="26.4">
      <c r="A106" s="41" t="s">
        <v>225</v>
      </c>
      <c r="B106" s="41"/>
      <c r="C106" s="41"/>
      <c r="D106" s="41"/>
      <c r="E106" s="41"/>
      <c r="F106" s="41"/>
      <c r="G106" s="41"/>
      <c r="H106" s="43"/>
      <c r="I106" s="43"/>
      <c r="J106" s="43"/>
      <c r="K106" s="43"/>
      <c r="L106" s="43"/>
      <c r="M106" s="43"/>
      <c r="N106" s="43"/>
      <c r="O106" s="57"/>
    </row>
    <row r="107" spans="1:15">
      <c r="A107" s="44" t="s">
        <v>205</v>
      </c>
      <c r="B107" s="44" t="s">
        <v>118</v>
      </c>
      <c r="C107" s="44" t="s">
        <v>106</v>
      </c>
      <c r="D107" s="44" t="s">
        <v>107</v>
      </c>
      <c r="E107" s="44" t="s">
        <v>108</v>
      </c>
      <c r="F107" s="44" t="s">
        <v>109</v>
      </c>
      <c r="G107" s="44" t="s">
        <v>110</v>
      </c>
      <c r="H107" s="43"/>
      <c r="I107" s="43"/>
      <c r="J107" s="43"/>
      <c r="K107" s="43"/>
      <c r="L107" s="43"/>
      <c r="M107" s="43"/>
      <c r="N107" s="43"/>
      <c r="O107" s="57"/>
    </row>
    <row r="108" spans="1:15">
      <c r="A108" s="43" t="s">
        <v>226</v>
      </c>
      <c r="B108" s="47">
        <v>1.5446687473963E-2</v>
      </c>
      <c r="C108" s="47">
        <v>1.82286328597565E-2</v>
      </c>
      <c r="D108" s="47">
        <v>2.4340027021124866E-2</v>
      </c>
      <c r="E108" s="47">
        <v>3.3492997331000564E-2</v>
      </c>
      <c r="F108" s="47">
        <v>0</v>
      </c>
      <c r="G108" s="47">
        <v>0</v>
      </c>
      <c r="H108" s="43"/>
      <c r="I108" s="43"/>
      <c r="J108" s="43"/>
      <c r="K108" s="43"/>
      <c r="L108" s="43"/>
      <c r="M108" s="43"/>
      <c r="N108" s="43"/>
      <c r="O108" s="57"/>
    </row>
    <row r="109" spans="1:15">
      <c r="A109" s="43" t="s">
        <v>227</v>
      </c>
      <c r="B109" s="49">
        <f>B108*$B$5</f>
        <v>0.29904786949592366</v>
      </c>
      <c r="C109" s="49">
        <f>C108*$B$5</f>
        <v>0.35290633216488582</v>
      </c>
      <c r="D109" s="49">
        <f t="shared" ref="D109:G109" si="10">D108*$B$5</f>
        <v>0.4712229231289774</v>
      </c>
      <c r="E109" s="49">
        <f t="shared" si="10"/>
        <v>0.64842442832817093</v>
      </c>
      <c r="F109" s="49">
        <f t="shared" si="10"/>
        <v>0</v>
      </c>
      <c r="G109" s="49">
        <f t="shared" si="10"/>
        <v>0</v>
      </c>
      <c r="H109" s="43"/>
      <c r="I109" s="43"/>
      <c r="J109" s="43"/>
      <c r="K109" s="43"/>
      <c r="L109" s="43"/>
      <c r="M109" s="43"/>
      <c r="N109" s="43"/>
      <c r="O109" s="57"/>
    </row>
    <row r="110" spans="1:15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57"/>
    </row>
    <row r="111" spans="1:15">
      <c r="A111" s="44" t="s">
        <v>228</v>
      </c>
      <c r="B111" s="44" t="s">
        <v>163</v>
      </c>
      <c r="C111" s="44" t="s">
        <v>164</v>
      </c>
      <c r="D111" s="44" t="s">
        <v>229</v>
      </c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57"/>
    </row>
    <row r="112" spans="1:15">
      <c r="A112" s="43" t="s">
        <v>230</v>
      </c>
      <c r="B112" s="45">
        <v>1780.93</v>
      </c>
      <c r="C112" s="43" t="s">
        <v>231</v>
      </c>
      <c r="D112" s="43" t="s">
        <v>232</v>
      </c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57"/>
    </row>
    <row r="113" spans="1:15">
      <c r="A113" s="43" t="s">
        <v>233</v>
      </c>
      <c r="B113" s="45">
        <v>1.311901</v>
      </c>
      <c r="C113" s="43" t="s">
        <v>199</v>
      </c>
      <c r="D113" s="43" t="s">
        <v>232</v>
      </c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57"/>
    </row>
    <row r="114" spans="1:15" ht="39.6">
      <c r="A114" s="43" t="s">
        <v>234</v>
      </c>
      <c r="B114" s="43" t="s">
        <v>235</v>
      </c>
      <c r="C114" s="43"/>
      <c r="D114" s="43" t="s">
        <v>236</v>
      </c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57"/>
    </row>
    <row r="115" spans="1: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57"/>
    </row>
    <row r="116" spans="1:15" ht="26.4">
      <c r="A116" s="41" t="s">
        <v>237</v>
      </c>
      <c r="B116" s="41"/>
      <c r="C116" s="41"/>
      <c r="D116" s="41"/>
      <c r="E116" s="41"/>
      <c r="F116" s="41"/>
      <c r="G116" s="41"/>
      <c r="H116" s="43"/>
      <c r="I116" s="43"/>
      <c r="J116" s="43"/>
      <c r="K116" s="43"/>
      <c r="L116" s="43"/>
      <c r="M116" s="43"/>
      <c r="N116" s="43"/>
      <c r="O116" s="57"/>
    </row>
    <row r="117" spans="1:15">
      <c r="A117" s="44" t="s">
        <v>45</v>
      </c>
      <c r="B117" s="44" t="s">
        <v>118</v>
      </c>
      <c r="C117" s="44" t="s">
        <v>106</v>
      </c>
      <c r="D117" s="44" t="s">
        <v>107</v>
      </c>
      <c r="E117" s="44" t="s">
        <v>108</v>
      </c>
      <c r="F117" s="44" t="s">
        <v>109</v>
      </c>
      <c r="G117" s="44" t="s">
        <v>110</v>
      </c>
      <c r="H117" s="43"/>
      <c r="I117" s="43"/>
      <c r="J117" s="43"/>
      <c r="K117" s="43"/>
      <c r="L117" s="43"/>
      <c r="M117" s="43"/>
      <c r="N117" s="43"/>
      <c r="O117" s="57"/>
    </row>
    <row r="118" spans="1:15">
      <c r="A118" s="43" t="s">
        <v>53</v>
      </c>
      <c r="B118" s="49">
        <f t="shared" ref="B118:G129" si="11">B$109</f>
        <v>0.29904786949592366</v>
      </c>
      <c r="C118" s="49">
        <f t="shared" si="11"/>
        <v>0.35290633216488582</v>
      </c>
      <c r="D118" s="49">
        <f t="shared" si="11"/>
        <v>0.4712229231289774</v>
      </c>
      <c r="E118" s="49">
        <f t="shared" si="11"/>
        <v>0.64842442832817093</v>
      </c>
      <c r="F118" s="49">
        <f t="shared" si="11"/>
        <v>0</v>
      </c>
      <c r="G118" s="49">
        <f t="shared" si="11"/>
        <v>0</v>
      </c>
      <c r="H118" s="43"/>
      <c r="I118" s="43"/>
      <c r="J118" s="43"/>
      <c r="K118" s="43"/>
      <c r="L118" s="43"/>
      <c r="M118" s="43"/>
      <c r="N118" s="43"/>
      <c r="O118" s="57"/>
    </row>
    <row r="119" spans="1:15">
      <c r="A119" s="43" t="s">
        <v>55</v>
      </c>
      <c r="B119" s="49">
        <f t="shared" si="11"/>
        <v>0.29904786949592366</v>
      </c>
      <c r="C119" s="49">
        <f t="shared" si="11"/>
        <v>0.35290633216488582</v>
      </c>
      <c r="D119" s="49">
        <f t="shared" si="11"/>
        <v>0.4712229231289774</v>
      </c>
      <c r="E119" s="49">
        <f t="shared" si="11"/>
        <v>0.64842442832817093</v>
      </c>
      <c r="F119" s="49">
        <f t="shared" si="11"/>
        <v>0</v>
      </c>
      <c r="G119" s="49">
        <f t="shared" si="11"/>
        <v>0</v>
      </c>
      <c r="H119" s="43"/>
      <c r="I119" s="43"/>
      <c r="J119" s="43"/>
      <c r="K119" s="43"/>
      <c r="L119" s="43"/>
      <c r="M119" s="43"/>
      <c r="N119" s="43"/>
      <c r="O119" s="57"/>
    </row>
    <row r="120" spans="1:15">
      <c r="A120" s="43" t="s">
        <v>57</v>
      </c>
      <c r="B120" s="49">
        <f t="shared" si="11"/>
        <v>0.29904786949592366</v>
      </c>
      <c r="C120" s="49">
        <f t="shared" si="11"/>
        <v>0.35290633216488582</v>
      </c>
      <c r="D120" s="49">
        <f t="shared" si="11"/>
        <v>0.4712229231289774</v>
      </c>
      <c r="E120" s="49">
        <f t="shared" si="11"/>
        <v>0.64842442832817093</v>
      </c>
      <c r="F120" s="49">
        <f t="shared" si="11"/>
        <v>0</v>
      </c>
      <c r="G120" s="49">
        <f t="shared" si="11"/>
        <v>0</v>
      </c>
      <c r="H120" s="43"/>
      <c r="I120" s="43"/>
      <c r="J120" s="43"/>
      <c r="K120" s="43"/>
      <c r="L120" s="43"/>
      <c r="M120" s="43"/>
      <c r="N120" s="43"/>
      <c r="O120" s="57"/>
    </row>
    <row r="121" spans="1:15">
      <c r="A121" s="43" t="s">
        <v>59</v>
      </c>
      <c r="B121" s="49">
        <f t="shared" si="11"/>
        <v>0.29904786949592366</v>
      </c>
      <c r="C121" s="49">
        <f t="shared" si="11"/>
        <v>0.35290633216488582</v>
      </c>
      <c r="D121" s="49">
        <f t="shared" si="11"/>
        <v>0.4712229231289774</v>
      </c>
      <c r="E121" s="49">
        <f t="shared" si="11"/>
        <v>0.64842442832817093</v>
      </c>
      <c r="F121" s="49">
        <f t="shared" si="11"/>
        <v>0</v>
      </c>
      <c r="G121" s="49">
        <f t="shared" si="11"/>
        <v>0</v>
      </c>
      <c r="H121" s="43"/>
      <c r="I121" s="43"/>
      <c r="J121" s="43"/>
      <c r="K121" s="43"/>
      <c r="L121" s="43"/>
      <c r="M121" s="43"/>
      <c r="N121" s="43"/>
      <c r="O121" s="57"/>
    </row>
    <row r="122" spans="1:15">
      <c r="A122" s="43" t="s">
        <v>61</v>
      </c>
      <c r="B122" s="49">
        <f t="shared" si="11"/>
        <v>0.29904786949592366</v>
      </c>
      <c r="C122" s="49">
        <f t="shared" si="11"/>
        <v>0.35290633216488582</v>
      </c>
      <c r="D122" s="49">
        <f t="shared" si="11"/>
        <v>0.4712229231289774</v>
      </c>
      <c r="E122" s="49">
        <f t="shared" si="11"/>
        <v>0.64842442832817093</v>
      </c>
      <c r="F122" s="49">
        <f t="shared" si="11"/>
        <v>0</v>
      </c>
      <c r="G122" s="49">
        <f t="shared" si="11"/>
        <v>0</v>
      </c>
      <c r="H122" s="43"/>
      <c r="I122" s="43"/>
      <c r="J122" s="43"/>
      <c r="K122" s="43"/>
      <c r="L122" s="43"/>
      <c r="M122" s="43"/>
      <c r="N122" s="43"/>
      <c r="O122" s="57"/>
    </row>
    <row r="123" spans="1:15">
      <c r="A123" s="43" t="s">
        <v>65</v>
      </c>
      <c r="B123" s="49">
        <f t="shared" si="11"/>
        <v>0.29904786949592366</v>
      </c>
      <c r="C123" s="49">
        <f t="shared" si="11"/>
        <v>0.35290633216488582</v>
      </c>
      <c r="D123" s="49">
        <f t="shared" si="11"/>
        <v>0.4712229231289774</v>
      </c>
      <c r="E123" s="49">
        <f t="shared" si="11"/>
        <v>0.64842442832817093</v>
      </c>
      <c r="F123" s="49">
        <f t="shared" si="11"/>
        <v>0</v>
      </c>
      <c r="G123" s="49">
        <f t="shared" si="11"/>
        <v>0</v>
      </c>
      <c r="H123" s="43"/>
      <c r="I123" s="43"/>
      <c r="J123" s="43"/>
      <c r="K123" s="43"/>
      <c r="L123" s="43"/>
      <c r="M123" s="43"/>
      <c r="N123" s="43"/>
      <c r="O123" s="57"/>
    </row>
    <row r="124" spans="1:15">
      <c r="A124" s="43" t="s">
        <v>68</v>
      </c>
      <c r="B124" s="49">
        <f t="shared" si="11"/>
        <v>0.29904786949592366</v>
      </c>
      <c r="C124" s="49">
        <f t="shared" si="11"/>
        <v>0.35290633216488582</v>
      </c>
      <c r="D124" s="49">
        <f t="shared" si="11"/>
        <v>0.4712229231289774</v>
      </c>
      <c r="E124" s="49">
        <f t="shared" si="11"/>
        <v>0.64842442832817093</v>
      </c>
      <c r="F124" s="49">
        <f t="shared" si="11"/>
        <v>0</v>
      </c>
      <c r="G124" s="49">
        <f t="shared" si="11"/>
        <v>0</v>
      </c>
      <c r="H124" s="43"/>
      <c r="I124" s="43"/>
      <c r="J124" s="43"/>
      <c r="K124" s="43"/>
      <c r="L124" s="43"/>
      <c r="M124" s="43"/>
      <c r="N124" s="43"/>
      <c r="O124" s="57"/>
    </row>
    <row r="125" spans="1:15">
      <c r="A125" s="43" t="s">
        <v>70</v>
      </c>
      <c r="B125" s="49">
        <f t="shared" si="11"/>
        <v>0.29904786949592366</v>
      </c>
      <c r="C125" s="49">
        <f t="shared" si="11"/>
        <v>0.35290633216488582</v>
      </c>
      <c r="D125" s="49">
        <f t="shared" si="11"/>
        <v>0.4712229231289774</v>
      </c>
      <c r="E125" s="49">
        <f t="shared" si="11"/>
        <v>0.64842442832817093</v>
      </c>
      <c r="F125" s="49">
        <f t="shared" si="11"/>
        <v>0</v>
      </c>
      <c r="G125" s="49">
        <f t="shared" si="11"/>
        <v>0</v>
      </c>
      <c r="H125" s="43"/>
      <c r="I125" s="43"/>
      <c r="J125" s="43"/>
      <c r="K125" s="43"/>
      <c r="L125" s="43"/>
      <c r="M125" s="43"/>
      <c r="N125" s="43"/>
      <c r="O125" s="57"/>
    </row>
    <row r="126" spans="1:15">
      <c r="A126" s="43" t="s">
        <v>73</v>
      </c>
      <c r="B126" s="49">
        <f t="shared" si="11"/>
        <v>0.29904786949592366</v>
      </c>
      <c r="C126" s="49">
        <f t="shared" si="11"/>
        <v>0.35290633216488582</v>
      </c>
      <c r="D126" s="49">
        <f t="shared" si="11"/>
        <v>0.4712229231289774</v>
      </c>
      <c r="E126" s="49">
        <f t="shared" si="11"/>
        <v>0.64842442832817093</v>
      </c>
      <c r="F126" s="49">
        <f t="shared" si="11"/>
        <v>0</v>
      </c>
      <c r="G126" s="49">
        <f t="shared" si="11"/>
        <v>0</v>
      </c>
      <c r="H126" s="43"/>
      <c r="I126" s="43"/>
      <c r="J126" s="43"/>
      <c r="K126" s="43"/>
      <c r="L126" s="43"/>
      <c r="M126" s="43"/>
      <c r="N126" s="43"/>
      <c r="O126" s="57"/>
    </row>
    <row r="127" spans="1:15">
      <c r="A127" s="43" t="s">
        <v>76</v>
      </c>
      <c r="B127" s="49">
        <f t="shared" si="11"/>
        <v>0.29904786949592366</v>
      </c>
      <c r="C127" s="49">
        <f t="shared" si="11"/>
        <v>0.35290633216488582</v>
      </c>
      <c r="D127" s="49">
        <f t="shared" si="11"/>
        <v>0.4712229231289774</v>
      </c>
      <c r="E127" s="49">
        <f t="shared" si="11"/>
        <v>0.64842442832817093</v>
      </c>
      <c r="F127" s="49">
        <f t="shared" si="11"/>
        <v>0</v>
      </c>
      <c r="G127" s="49">
        <f t="shared" si="11"/>
        <v>0</v>
      </c>
      <c r="H127" s="43"/>
      <c r="I127" s="43"/>
      <c r="J127" s="43"/>
      <c r="K127" s="43"/>
      <c r="L127" s="43"/>
      <c r="M127" s="43"/>
      <c r="N127" s="43"/>
      <c r="O127" s="57"/>
    </row>
    <row r="128" spans="1:15">
      <c r="A128" s="43" t="s">
        <v>78</v>
      </c>
      <c r="B128" s="49">
        <f t="shared" si="11"/>
        <v>0.29904786949592366</v>
      </c>
      <c r="C128" s="49">
        <f t="shared" si="11"/>
        <v>0.35290633216488582</v>
      </c>
      <c r="D128" s="49">
        <f t="shared" si="11"/>
        <v>0.4712229231289774</v>
      </c>
      <c r="E128" s="49">
        <f t="shared" si="11"/>
        <v>0.64842442832817093</v>
      </c>
      <c r="F128" s="49">
        <f t="shared" si="11"/>
        <v>0</v>
      </c>
      <c r="G128" s="49">
        <f t="shared" si="11"/>
        <v>0</v>
      </c>
      <c r="H128" s="43"/>
      <c r="I128" s="43"/>
      <c r="J128" s="43"/>
      <c r="K128" s="43"/>
      <c r="L128" s="43"/>
      <c r="M128" s="43"/>
      <c r="N128" s="43"/>
      <c r="O128" s="57"/>
    </row>
    <row r="129" spans="1:15">
      <c r="A129" s="43" t="s">
        <v>81</v>
      </c>
      <c r="B129" s="49">
        <f t="shared" si="11"/>
        <v>0.29904786949592366</v>
      </c>
      <c r="C129" s="49">
        <f t="shared" si="11"/>
        <v>0.35290633216488582</v>
      </c>
      <c r="D129" s="49">
        <f t="shared" si="11"/>
        <v>0.4712229231289774</v>
      </c>
      <c r="E129" s="49">
        <f t="shared" si="11"/>
        <v>0.64842442832817093</v>
      </c>
      <c r="F129" s="49">
        <f t="shared" si="11"/>
        <v>0</v>
      </c>
      <c r="G129" s="49">
        <f t="shared" si="11"/>
        <v>0</v>
      </c>
      <c r="H129" s="43"/>
      <c r="I129" s="43"/>
      <c r="J129" s="43"/>
      <c r="K129" s="43"/>
      <c r="L129" s="43"/>
      <c r="M129" s="43"/>
      <c r="N129" s="43"/>
      <c r="O129" s="57"/>
    </row>
    <row r="130" spans="1:15">
      <c r="O130" s="57"/>
    </row>
    <row r="131" spans="1:15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CONSOLIDADO</vt:lpstr>
      <vt:lpstr>MESES 2025</vt:lpstr>
      <vt:lpstr>DEMANDA BANXICO 2025</vt:lpstr>
      <vt:lpstr>METALES 2025 BUENO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Alejandro Durán López</dc:creator>
  <cp:lastModifiedBy>César Alejandro Durán López</cp:lastModifiedBy>
  <dcterms:created xsi:type="dcterms:W3CDTF">2026-09-11T20:46:06Z</dcterms:created>
  <dcterms:modified xsi:type="dcterms:W3CDTF">2026-10-01T16:44:27Z</dcterms:modified>
</cp:coreProperties>
</file>